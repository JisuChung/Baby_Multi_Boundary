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CNL\DEvl\Multi\Museum_data\Exp3_Multi_boundary_Chunking\"/>
    </mc:Choice>
  </mc:AlternateContent>
  <xr:revisionPtr revIDLastSave="0" documentId="13_ncr:1_{AC0C7360-5535-49CC-B3E1-E62FE3797A8C}" xr6:coauthVersionLast="36" xr6:coauthVersionMax="36" xr10:uidLastSave="{00000000-0000-0000-0000-000000000000}"/>
  <bookViews>
    <workbookView xWindow="0" yWindow="0" windowWidth="33930" windowHeight="12765" xr2:uid="{E6C45370-CA08-457A-9E7B-9D1325BBC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9" i="1" l="1"/>
  <c r="B74" i="1" l="1"/>
  <c r="B75" i="1"/>
  <c r="B76" i="1"/>
  <c r="B81" i="1" l="1"/>
  <c r="B82" i="1"/>
  <c r="B80" i="1"/>
  <c r="B77" i="1"/>
  <c r="B78" i="1"/>
  <c r="B73" i="1"/>
  <c r="B65" i="1"/>
  <c r="B66" i="1"/>
  <c r="B67" i="1"/>
  <c r="B68" i="1"/>
  <c r="B69" i="1"/>
  <c r="B70" i="1"/>
  <c r="B71" i="1"/>
  <c r="B72" i="1"/>
  <c r="B64" i="1"/>
  <c r="B58" i="1" l="1"/>
  <c r="B59" i="1"/>
  <c r="B60" i="1"/>
  <c r="B61" i="1"/>
  <c r="B62" i="1"/>
  <c r="B63" i="1"/>
  <c r="B57" i="1"/>
  <c r="B49" i="1" l="1"/>
  <c r="B50" i="1"/>
  <c r="B51" i="1"/>
  <c r="B52" i="1"/>
  <c r="B53" i="1"/>
  <c r="B48" i="1"/>
  <c r="B47" i="1"/>
  <c r="B30" i="1"/>
  <c r="B55" i="1" l="1"/>
  <c r="B56" i="1"/>
  <c r="B54" i="1"/>
  <c r="B41" i="1" l="1"/>
  <c r="B42" i="1"/>
  <c r="B43" i="1"/>
  <c r="B44" i="1"/>
  <c r="B45" i="1"/>
  <c r="B46" i="1"/>
  <c r="B40" i="1"/>
  <c r="B37" i="1" l="1"/>
  <c r="B38" i="1"/>
  <c r="B39" i="1"/>
  <c r="B36" i="1"/>
  <c r="B31" i="1"/>
  <c r="B32" i="1"/>
  <c r="B33" i="1"/>
  <c r="B34" i="1"/>
  <c r="B35" i="1"/>
  <c r="B15" i="1" l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14" i="1"/>
  <c r="B3" i="1" l="1"/>
  <c r="B4" i="1"/>
  <c r="B5" i="1"/>
  <c r="B6" i="1"/>
  <c r="B7" i="1"/>
  <c r="B8" i="1"/>
  <c r="B9" i="1"/>
  <c r="B10" i="1"/>
  <c r="B11" i="1"/>
  <c r="B12" i="1"/>
  <c r="B13" i="1"/>
  <c r="B2" i="1"/>
</calcChain>
</file>

<file path=xl/sharedStrings.xml><?xml version="1.0" encoding="utf-8"?>
<sst xmlns="http://schemas.openxmlformats.org/spreadsheetml/2006/main" count="1096" uniqueCount="518">
  <si>
    <t>Yoga</t>
  </si>
  <si>
    <t>여</t>
  </si>
  <si>
    <t>expdate</t>
  </si>
  <si>
    <t>exptime</t>
  </si>
  <si>
    <t>subjectkey</t>
  </si>
  <si>
    <t>pre/onsite</t>
  </si>
  <si>
    <t>name_child</t>
  </si>
  <si>
    <t>name_parent</t>
  </si>
  <si>
    <t>phone</t>
  </si>
  <si>
    <t>sex</t>
  </si>
  <si>
    <t>birthdate</t>
  </si>
  <si>
    <t>age_mo</t>
  </si>
  <si>
    <t>age_yr</t>
  </si>
  <si>
    <t>age_yrfrac</t>
  </si>
  <si>
    <t>experimenter</t>
  </si>
  <si>
    <t>computer</t>
  </si>
  <si>
    <t>button</t>
  </si>
  <si>
    <t>Task</t>
    <phoneticPr fontId="1" type="noConversion"/>
  </si>
  <si>
    <t>ID</t>
    <phoneticPr fontId="1" type="noConversion"/>
  </si>
  <si>
    <t>etc</t>
    <phoneticPr fontId="1" type="noConversion"/>
  </si>
  <si>
    <t>reject</t>
    <phoneticPr fontId="1" type="noConversion"/>
  </si>
  <si>
    <t>run_reject</t>
    <phoneticPr fontId="1" type="noConversion"/>
  </si>
  <si>
    <t>em_pass</t>
    <phoneticPr fontId="1" type="noConversion"/>
  </si>
  <si>
    <t>inter_pass</t>
    <phoneticPr fontId="1" type="noConversion"/>
  </si>
  <si>
    <t>pass/pending/fail</t>
  </si>
  <si>
    <t>headphone</t>
  </si>
  <si>
    <t>pointing</t>
  </si>
  <si>
    <t>reason_pass/fail</t>
  </si>
  <si>
    <t>subjectkey_v2</t>
  </si>
  <si>
    <t>note_1</t>
  </si>
  <si>
    <t>note_2</t>
  </si>
  <si>
    <t>Q1</t>
  </si>
  <si>
    <t>Q2- ani, loc strategy</t>
  </si>
  <si>
    <t>Q3- ani, loc easy</t>
  </si>
  <si>
    <t>Q4-ani, OX</t>
  </si>
  <si>
    <t>multi_chunk</t>
  </si>
  <si>
    <t>AM 11:30</t>
  </si>
  <si>
    <t>사전예약</t>
  </si>
  <si>
    <t>김다온</t>
  </si>
  <si>
    <t>김동철</t>
  </si>
  <si>
    <t>010-2227-0022</t>
  </si>
  <si>
    <t>CJY</t>
  </si>
  <si>
    <t>HS</t>
  </si>
  <si>
    <t>4key</t>
  </si>
  <si>
    <t>김준</t>
  </si>
  <si>
    <t>김성구</t>
  </si>
  <si>
    <t>010-8575-2030</t>
  </si>
  <si>
    <t>남</t>
  </si>
  <si>
    <t>BH</t>
  </si>
  <si>
    <t>White</t>
  </si>
  <si>
    <t>203, 204 남매</t>
  </si>
  <si>
    <t>김래아</t>
  </si>
  <si>
    <t>손미애</t>
  </si>
  <si>
    <t>010-9015-8350</t>
  </si>
  <si>
    <t>KSH</t>
  </si>
  <si>
    <t>3key+knob</t>
  </si>
  <si>
    <t>PM 12:30</t>
  </si>
  <si>
    <t>김정우</t>
  </si>
  <si>
    <t>김희성</t>
  </si>
  <si>
    <t>010-8898-2556</t>
  </si>
  <si>
    <t>김민성</t>
  </si>
  <si>
    <t>김성호</t>
  </si>
  <si>
    <t>010-6557-6275</t>
  </si>
  <si>
    <t>언어치료</t>
  </si>
  <si>
    <t>홍원준</t>
  </si>
  <si>
    <t>홍진호</t>
  </si>
  <si>
    <t>010-2990-3468</t>
  </si>
  <si>
    <t>303, 304 남매</t>
  </si>
  <si>
    <t>홍서우</t>
  </si>
  <si>
    <t>김유진</t>
  </si>
  <si>
    <t>010-2970-0565</t>
  </si>
  <si>
    <t>JC</t>
  </si>
  <si>
    <t>Pink</t>
  </si>
  <si>
    <t>PM 2:30</t>
  </si>
  <si>
    <t>김지호</t>
  </si>
  <si>
    <t>배미소</t>
  </si>
  <si>
    <t>010-5861-7707</t>
  </si>
  <si>
    <t>PM 3:30</t>
  </si>
  <si>
    <t>조아영</t>
  </si>
  <si>
    <t>조용원</t>
  </si>
  <si>
    <t>010-4518-9713</t>
  </si>
  <si>
    <t>윤소연</t>
  </si>
  <si>
    <t>최은숙</t>
  </si>
  <si>
    <t>010-9553-5867</t>
  </si>
  <si>
    <t>말하는 속도가 느리다는 신청 당시 보호자의 코멘트 / 실제 연구 진행해보니 말하는 속도도 느리고, 반응 속도도 느려서 run3까지만 하고 종료</t>
  </si>
  <si>
    <t>PM 4:30</t>
  </si>
  <si>
    <t>이수아</t>
  </si>
  <si>
    <t>천아영</t>
  </si>
  <si>
    <t>010-6864-2100</t>
  </si>
  <si>
    <t>현장접수</t>
  </si>
  <si>
    <t>진시아</t>
  </si>
  <si>
    <t>서다희</t>
  </si>
  <si>
    <t>010-9142-2745</t>
  </si>
  <si>
    <t>405 &amp; 605 남매 현장등록</t>
  </si>
  <si>
    <t>1</t>
    <phoneticPr fontId="1" type="noConversion"/>
  </si>
  <si>
    <t>00000011</t>
    <phoneticPr fontId="1" type="noConversion"/>
  </si>
  <si>
    <t>trial_reject</t>
    <phoneticPr fontId="1" type="noConversion"/>
  </si>
  <si>
    <t>AM 10:30</t>
  </si>
  <si>
    <t>국아윤</t>
  </si>
  <si>
    <t>이아랑</t>
  </si>
  <si>
    <t>010-2877-2620</t>
  </si>
  <si>
    <t>하면서 언제끝나냐며 소리냄 (제자리에서 3-4번 정도, 실험자가 하이파이브나 스티커로 독려하며 진행)</t>
  </si>
  <si>
    <t>inter 때 언제끝나 소리냄 (제자리에서, 실험자가 하이파이브나 스티커로 독려하며 진행)</t>
  </si>
  <si>
    <t>육다은</t>
  </si>
  <si>
    <t>김민경</t>
  </si>
  <si>
    <t>010-2477-0520</t>
  </si>
  <si>
    <t>GK</t>
  </si>
  <si>
    <t>윤지우</t>
  </si>
  <si>
    <t>김희자</t>
  </si>
  <si>
    <t>010-2611-4403</t>
  </si>
  <si>
    <t>이유빈</t>
  </si>
  <si>
    <t>허세연/이진환(IRB)</t>
  </si>
  <si>
    <t>010-4901-1059</t>
  </si>
  <si>
    <t>202, 204 자매 (IRB 설명은 st4), 카톡채널 연락올 수도.</t>
  </si>
  <si>
    <t>현장접수/문자</t>
  </si>
  <si>
    <t>조수아</t>
  </si>
  <si>
    <t>조상환</t>
  </si>
  <si>
    <t>010-2592-8028</t>
  </si>
  <si>
    <t>현장접수/현장</t>
  </si>
  <si>
    <t>유은재</t>
  </si>
  <si>
    <t>조세화</t>
  </si>
  <si>
    <t>010-9031-7779</t>
  </si>
  <si>
    <t>김우진</t>
  </si>
  <si>
    <t>박시연</t>
  </si>
  <si>
    <t>010-7335-8638</t>
  </si>
  <si>
    <t>양지우</t>
  </si>
  <si>
    <t>윤아영</t>
  </si>
  <si>
    <t>010-5878-6808</t>
  </si>
  <si>
    <t>백온유</t>
  </si>
  <si>
    <t>백일권</t>
  </si>
  <si>
    <t>010-6341-5457</t>
  </si>
  <si>
    <t>폰에서 구글qr 잘 안 되서 노트북 빌려드림(설문)</t>
  </si>
  <si>
    <t>이다온</t>
  </si>
  <si>
    <t>오선경</t>
  </si>
  <si>
    <t>010-2922-5665</t>
  </si>
  <si>
    <t>서하진</t>
  </si>
  <si>
    <t>최미혜</t>
  </si>
  <si>
    <t>010-7552-9261</t>
  </si>
  <si>
    <t>임라온</t>
  </si>
  <si>
    <t>최설민</t>
  </si>
  <si>
    <t>010-5114-0210</t>
  </si>
  <si>
    <t>서이안</t>
  </si>
  <si>
    <t>이다영/서영득</t>
  </si>
  <si>
    <t>010-3238-8929</t>
  </si>
  <si>
    <t>현장참여/현장</t>
  </si>
  <si>
    <t>장윤혜</t>
  </si>
  <si>
    <t>문보아</t>
  </si>
  <si>
    <t>010-5775-7257</t>
  </si>
  <si>
    <t>설문X 연락드림</t>
  </si>
  <si>
    <t>김나은</t>
  </si>
  <si>
    <t>박정준</t>
  </si>
  <si>
    <t>010-5683-9900</t>
  </si>
  <si>
    <t>안재이</t>
  </si>
  <si>
    <t>박소현</t>
  </si>
  <si>
    <t>010-4360-0651</t>
  </si>
  <si>
    <t>602 &amp; 605 남매</t>
  </si>
  <si>
    <t>늦게 모객되어 중간에 끝낸 듯. 막판에 퇴장송으로 DISTRACTED // [**중단] RUN 3쯤 퇴장안내방송으로 진행불가.</t>
    <phoneticPr fontId="1" type="noConversion"/>
  </si>
  <si>
    <t xml:space="preserve">(신청서)언어치료. 집중력 부족함. 진단이력 없음. // [**중단] 집중 안 될 떄 보호자랑 상호작용. 하다가 버튼 막 눌러서 중단. </t>
    <phoneticPr fontId="1" type="noConversion"/>
  </si>
  <si>
    <t>오른손</t>
  </si>
  <si>
    <t>set 8</t>
  </si>
  <si>
    <t>run 2 trial1 여섯 번쨰 단어 x인데 지나가자마자 선택, 단어 때 "봤던 거 누르는거예요?"라고 되물음/run 2 trial2 단어 첫 번째 o, 뒤늦게 누름/앉아있을 때 자세 많이 움직임, 다리 or 꿈틀꿈틀/run3 trial 1 두 번째 몬스터 잘 생각 안 난다고 말함</t>
  </si>
  <si>
    <t>소리 있음, 배경 변화인지, 벽 있을 때 기억 잘 함</t>
  </si>
  <si>
    <t>몬스터: 모르겠음/위치:선으로 생각</t>
  </si>
  <si>
    <t>몬스터: 5번&gt;4번&gt;2번/위치: 가장자리쪽</t>
  </si>
  <si>
    <t>단어만</t>
  </si>
  <si>
    <t>set 1</t>
  </si>
  <si>
    <t>단어 거의 랜덤하게 응답/쓰기 어려울 수도, 집중력 떨어짐</t>
  </si>
  <si>
    <t>지루했다/소리 같았다/벽 있었고, 방해됨</t>
  </si>
  <si>
    <t>몬스터:모르겠다/위치:그냥 기억</t>
  </si>
  <si>
    <t>몬슽어:3번/구멍:ㅌ</t>
  </si>
  <si>
    <t>practice부터</t>
  </si>
  <si>
    <t>set 4</t>
  </si>
  <si>
    <t>차분히 잘 함/연습 버튼 숙지가 덜 돼서 단어 많이 틀림/rin 1 trial1 첫 번째 몬스터 선택 잘못함(4번-&gt;1번으로 정정), 위치라도 맞게 택하도록 말해줌/run 4 trial 1 단어 '물고기' 잘못 누른듯, 첫 번째 몬스터 선택에서 위치 잘못 눌렀다고 말함(정답은 아니었음, 그 trial에서 정답 중에 있던 위치긴 함)</t>
  </si>
  <si>
    <t>재밌었음/음악 소리 ,변화x/벽x</t>
  </si>
  <si>
    <t>몬스터: 뚜럿하게 보고 외움/위치: 그냥 보고 ,비슷한 곳에 넣음</t>
  </si>
  <si>
    <t>몬스터:1번, 너무 생김새가 달라서/위치:x</t>
  </si>
  <si>
    <t>단어만. 어차피 몬스터는 생각하고? (하루 지나야 생각이 잘 나는데~ 라고 말함)</t>
  </si>
  <si>
    <t>set 9/연습 때 본 게임 matlab 열려서 껐다 킴. 본게임 총 두 번 실행</t>
  </si>
  <si>
    <t>움직임 많이 없음. 끝까지 고정자세로 집중 잘함. 특이사항 없음</t>
  </si>
  <si>
    <t>배경 변화 인지, 소리 나오는거 인지, 벽 있고, 벽으로 나눠서 위치를 기억함</t>
  </si>
  <si>
    <t>몬스터:머리색+뿔로 기억, 이걸 순서랑 합쳐서/위치:벽으로 나눠서 기억</t>
  </si>
  <si>
    <t>몬스터: 3번&gt;1번&gt;4번/위치:가장자리</t>
  </si>
  <si>
    <t>둘 다 기억하려 함</t>
  </si>
  <si>
    <t>set 2</t>
  </si>
  <si>
    <t>연습보단 본 게임 잘 함. 단어 소리내서 읽으면서 암기</t>
  </si>
  <si>
    <t>재밌어요/소리 똑같음/벽 도움됨</t>
  </si>
  <si>
    <t>몬스터:그냥/위치: 속으로 생각,몬스터 나올 때 같이 생각함</t>
  </si>
  <si>
    <t>x</t>
  </si>
  <si>
    <t>둘 다 기억함./ 말로</t>
  </si>
  <si>
    <t>set 5</t>
  </si>
  <si>
    <t>몬스터 외울 때 손가락으로 콕콕/의욕은 넘치나 외우기 어려워 함, 뒤로 갈수록 자신감있게 함/run 1 trial 2 단어 '귀걸이'잘못 누른 듯, trial 2부터 기억 안난다고 울려고 해서 다독임+끝까지 해보자/run 2 trial 1 몬스터 선택에서 세 번째 위치 잘못누름(정답은 아니엌ㅆ던 듯)</t>
  </si>
  <si>
    <t>어려웠어요/소리 있음, 방끼리 달랐음, 둘 다 중간에도 바뀜/벽 x</t>
  </si>
  <si>
    <t>몬스터: 그냥/위치:보고 외움</t>
  </si>
  <si>
    <t>몬스터: 3번 뚱ㅋ뚱해서</t>
  </si>
  <si>
    <t>둘 다</t>
  </si>
  <si>
    <t>오른손/포인팅 왼손</t>
  </si>
  <si>
    <t>set 11</t>
  </si>
  <si>
    <t>재밌었어요, 좀 어려움/두 방 다른 소리, 방 안에서 같은 소리/돌 벽 있음, 도움됨</t>
  </si>
  <si>
    <t>몬스터:특징으로 이름/위치: 삼각형, 사각형, 도형 모양</t>
  </si>
  <si>
    <t>몬스터: 4번/위치: cont 1에서 왼쪽 공간 벽과 가장 가까운 구멍이 잘 기억 안 남</t>
  </si>
  <si>
    <t>단어 집중</t>
  </si>
  <si>
    <t>set 6/컴 작동 안해서 연습 껐다가 다시 켬</t>
  </si>
  <si>
    <t>몬스터 손으로 화면 찝으며 암기/말을 많이 함, 상상력이 풍부/기억을 아주 잘 하는 편은 아닌듯, 살짝 지루해 하기도 함./연습 단어 게임 답변을 까먹어서 몇 개 못 누름/답을 잘 몰라서 계속 물어봄 "이쪽에서 나왔나?"/ run 1부터 그만하고싶다고 계속 말함, run 2부턴 잘 안 봄, 특히 단어(data 버려야 할 수도?)</t>
  </si>
  <si>
    <t>재미없었지만 재밌다/소리 있음, 방마다, 방 안에서도 달라짐/벽 있음 도움이나 방해는 잘 모르겠음</t>
  </si>
  <si>
    <t>몬스터: 그냥/위치:" 손으로 찝으면서</t>
  </si>
  <si>
    <t>set 10</t>
  </si>
  <si>
    <t>정자세로 끝까지 집중 잘 함/맞추고 싶어함/단어게임 떄문에 몬스터 게임 헷갈린다고 함/run 1 trial 1 몬스터 고르고 다 틀린 것 같다고 함, trial 2 몬스터는 다 맞은것 같다고 함/run 2 trial 1 몬스터 나올 때 손가락으로 짚으면서 기억, 단어 맞추기 마지막 x인데 실수로 o 선택/run 2 끝나고 선생님이 보고 있는데 집중 못한 것 같다(틀린 것 같다)고 아쉬워 함/run 3 trial 1 네 번째 단어 x인데 실수로 o 선택, trial 2 하품</t>
  </si>
  <si>
    <t>어렵지만 괜찮았음/소리 달라짐/배경 두 개 인지, 벽 있을 때 기억에 도움됨</t>
  </si>
  <si>
    <t>몬스터 : 특징(털 모양 등 )으로 기억/위치: 손가라으로 표시해놓음</t>
  </si>
  <si>
    <t>몬스터:3번&gt;2번&gt;4번&gt;1번&gt;5/순서, 위치는 x</t>
  </si>
  <si>
    <t>단어에 집중, 몬스터는 손으로만 표시해둠</t>
  </si>
  <si>
    <t>set 7</t>
  </si>
  <si>
    <t>행동이 조금 많이 느림, 특히 o에서 x로 옮길 때 등/연습도 답 느리게+초반에 기억을 못해서? 건너뛴 것들 많음/본 게임부턴 점점 잘함/run 2 trial 1 단어 첫 문제 답이 느려서 뒤에꺼 x로 눌림(RT가 너무 느려서 한 두개는 어쩔 수 없는 듯)</t>
  </si>
  <si>
    <t>좋았음/소리x/벽x</t>
  </si>
  <si>
    <t>몬스터: 5번, 예뻐서</t>
  </si>
  <si>
    <t>set 3</t>
  </si>
  <si>
    <t>조금 불안/단어 소리내서 외움/run 1 잘 함/산만한데 집중력 좋은 편</t>
  </si>
  <si>
    <t>재밌어요/소리 좀 달랐어요/벽 도움이 됐어요</t>
  </si>
  <si>
    <t>몬스터:색깔/위치:나오는 것대로 생각함</t>
  </si>
  <si>
    <t>모릠</t>
  </si>
  <si>
    <t>둘 다 생각</t>
  </si>
  <si>
    <t>재밌어요/두 방 소리 달랐어요, 방 중간엔 똑같은 소리?/벽 있음, 도움됨</t>
  </si>
  <si>
    <t>몬스터:그냥/위치:모양</t>
  </si>
  <si>
    <t>몬스터: 4번/위치:cont 2다 쉬움</t>
  </si>
  <si>
    <t>몬스터에 집중. 그냥</t>
  </si>
  <si>
    <t>단어 중얼거리며 암기/금방 이해하고 금방 지루해함/run1 부터 지루해하고 run 2 trial 1까지 괜찮다가 trial 2부터 집중력 떨어짐</t>
  </si>
  <si>
    <t>재밌었어요/소리 두 방 다름/벽 도움됨</t>
  </si>
  <si>
    <t>몬스터:머리 모양으로/위치:하나 둘 셋 넷 외우면서, 위치 지정해서 외움</t>
  </si>
  <si>
    <t>몬스터: 3번인듯?(동그랗게 생긴)/위치: context 1 맨 왼쪽 위, context 2 맨 오른쪽 위</t>
  </si>
  <si>
    <t>몬스터 생각함, 머리로. 단어는 말로 소리내서 읽음</t>
  </si>
  <si>
    <t>연습: 버튼키 조작 처음엔 괜찮았는데 몬스터 응답하기에서 미숙함. 한손으로 양쪽 키 다 누르려고 해서 양손 사용 괜찮다고 알려줌/본게임: 단어 준비돼면 o버튼 계속 왼쪽 키만 눌러서 안 넘어감, 본 게임에서는 버튼키 잘 누름. 중간에 딴짓 많이 함. 버튼키 중간에 테이프 붙여둔 곳 계속 눌러봄, 버튼키 아래 포스트잇 살펴보기/run 2 trial 1 헤드셋 커서 딱 맞게 다시 조정해줌/run 3 trial 1 단어게임에서 단어 나올 때 화면 안 보고 버튼키 쳐다보곤 함. trial 2 몬스터 선택 시간 오래걸림/run 3 trial 2 집중 안 하고 구멍 계속 왔다갔다 하다가 갑자기 어떻게 선택하는 거냐고 물어봄. 빨간 버튼 두 번 누르면 된다고 알려줌/run 4 trial 1 몬스터 나올때나 단어 나올 때 자구 화면 아닌 버튼키를 쳐다보면서 만지작거림, 단어 다 x 누름</t>
  </si>
  <si>
    <t>몬스터:까먹었어요/위치: 잘 모르겠어요</t>
  </si>
  <si>
    <t>몬스터: 무지개. 5번/ 위치: 기억 안나요</t>
  </si>
  <si>
    <t>모르겠어요</t>
  </si>
  <si>
    <t>set 6</t>
  </si>
  <si>
    <t>run 3, 4 단어게임 일부 답 놓침. 집중력 저하로 반응이 느려짐</t>
  </si>
  <si>
    <t>재밌었어요/소리 각 방 중간에 바뀜/벽 도움됨</t>
  </si>
  <si>
    <t>몬스터:생김새 보고 색깔/위치: 그냥</t>
  </si>
  <si>
    <t>몬스터도 기억, 머릿속에서 생각했다.</t>
  </si>
  <si>
    <t>왼손</t>
  </si>
  <si>
    <t>set 12</t>
  </si>
  <si>
    <t>연습 단어게임에서 응답 속도 느림./본 게임: run 1 trial 1 단어 준비돼면 o 이해 못함. 반응 안 해서 한 번 더 설명해줌. 어려서 그런지 선택 속도 많이 느림+ 지루해해서 스티커 2개씩 주면서 회유함./run 2 여전히 준비돼면 o 버튼 누르기 어려워함/단어 게임 계속 x 누름. 단어 게임에 대한 설명 이해 못한듯. 계속 다 x 누름.</t>
  </si>
  <si>
    <t>두 방 소리가 같고, 안 바뀌었다고 함./벽 있음, context 2에서, 고르는데 오래걸림</t>
  </si>
  <si>
    <t>몬스터, 위치: 얘네 있는 자리를 눈으로 봤어요</t>
  </si>
  <si>
    <t>몬스터: 1번 4번/위치: 그 몬스터들이 있는 자리가 다른 자리보다 쉬웠어요</t>
  </si>
  <si>
    <t>몬스터 생각도 함</t>
  </si>
  <si>
    <t>양손으로 몬스터 가리키면서, 단어들 말하면서 기억/run 1 trial 2 몬스터 답하면서 "쉽다"함/ 단억[임 전마다 몬스터 되뇌이며 기억하는 시간 가짐/단어게임은 단어들 외울 때랑 답할 때 말하면서 함/run 3 trial 1 몬스터 선택하면서 "같은 몬스터들이 계속 나와서 지루해요"라고 함/run 4 trial 1 몬스터 나올 때 소리 높낮이 따라하면서 외움</t>
  </si>
  <si>
    <t>소리 인지/배경 인지, 벽 인지</t>
  </si>
  <si>
    <t>몬스터:색으로 기억/위치:손가락으로 위치 기억</t>
  </si>
  <si>
    <t>몬스터: 5번, 2번 , 4번 순서로/위치: 소리가 위치 기억에 도움됨</t>
  </si>
  <si>
    <t>단어게임만</t>
  </si>
  <si>
    <t>run 1 단어 소리내어 읽으면서 외우다가 바로 "다 동물들이네"라고 함/run 3 박물관 종료 알림으로 stop</t>
  </si>
  <si>
    <t>재밌었어요/두 방 소리 다름/벽 방해됨</t>
  </si>
  <si>
    <t>몬스터: 색깔로/위치:그냥</t>
  </si>
  <si>
    <t>몬스터: 1번(빨강)/위치: cont 1 맨 왼쪽 위</t>
  </si>
  <si>
    <t>몬스터도 생각, 그냥 머릿속으로</t>
  </si>
  <si>
    <t>큰 아이라 버튼키 조작 빨리 배우는 편(상대적으로)/run 1 한 손으로 버튼키 조작, 단어게임 정답 입력할 때 소리내서 말함, 이후 run때도 빈번히/run 2 시작 전에 양손으로 쥐고 해도 된다고 알려줌, 이후 버튼키 양손으로 잡고 함./run 4 trial 1 몬스터 잘못 선택했다고 말함</t>
  </si>
  <si>
    <t>재밌었어요/소리 두방 다르고, 방 중간에도 바뀜/벽 인지, 방향도 인지한듯</t>
  </si>
  <si>
    <t>몬스터:생김새, 모양 다 달라서 기억/위치: 바탕이 약간 평평해서 잘 기억함</t>
  </si>
  <si>
    <t>몬스터: 1번, 색이 진해서/위치: 벽 기준으로 왼쪽 오른쪽이 연달아서 일자로 나올 떄, 줄줄이라서 외우기 쉬웠음</t>
  </si>
  <si>
    <t>몬스터 기억하려고 함</t>
  </si>
  <si>
    <t>암전한 편, 살짝 반응이 없고 느림/몬스터 3마리 넣고도 더 넣으려는 듯한 동작 함./표정이 조금 울쌍..? 이런 느낌으로 계속 해줌, run 3 trial 1부터는 좀 대충하는 듯?, + 단어 게임 2번 3번 xo반대로 눌림</t>
  </si>
  <si>
    <t>재밌었어요/소리 두 방이 달랐고, 방 안에서도 달라짐/같은 배경, 벽 방해됨</t>
  </si>
  <si>
    <t>몬스터: 줄임말써서 이름을 만듦/위치: 손가락으로 기억하려고 함.</t>
  </si>
  <si>
    <t>단어게임에 집중</t>
  </si>
  <si>
    <t>떠올리기 때 손으로 위치 짚으면서 되새김/단어게임 이해 잘 못한듯</t>
  </si>
  <si>
    <t>재밌었어요/두 방 소리 다름.벽 상관 없었음</t>
  </si>
  <si>
    <t>몬스터:그냥 모양 보고/위치: 싱크홀이라고 생각</t>
  </si>
  <si>
    <t>몬스터: 1번/위치는 x</t>
  </si>
  <si>
    <t>양손잡이인듯</t>
  </si>
  <si>
    <t>set 1*줌 목소리만 녹화(화면 안 켜짐)</t>
  </si>
  <si>
    <t>끝나고 어머니가 아이 글자 못 읽는다고 함/버튼 조작 능숙하진 않음, 두 손으로 입력해도 된다고 알려줌/run 1부터 한숨쉬고 힘들어함, 선택 하려면 빨간 버튼 두 번 누르기 계속 놓침/run 2 기억하기 때 지루해하며 한숨+화면 제대로 안 봄/run 3 자세 산만, 지루해함. 단어 퀴즈 때 말로 따라함/run 4 떠올리기 때 버튼키 퍽퍽 누름/그렇다고 해서 데이터 못 쓸 정도는 아닌듯</t>
  </si>
  <si>
    <t>재밌었어요/소리 모르겠어요/벽 cont 1에 있었어요, 도움됨</t>
  </si>
  <si>
    <t>몬스터: 보고, 모양/위치: 잘 모르겠다</t>
  </si>
  <si>
    <t>몬스터: 콕콕 찌르는데 특정 몬스터를 응답하지는 않음</t>
  </si>
  <si>
    <t>몬스터, 생각</t>
  </si>
  <si>
    <t>언어치료중, 집중력 부족, 게임 어려워함/헤드셋 불편해서 꼈다 뺐다 함/run 1 trial 1 단어 첫 번째- 버튼 꾹 누르고 있어서 그냥 눌림, 단어 나올 때 버튼가지고 놀면서 봄. trial 2 몬스터 막 누름/run 1 끝나고 집중 못해서 부모님 들어오셔서 열심히 하라 하시고 나가심/run 2 trial 2 몬스터 막 누름</t>
  </si>
  <si>
    <t>소리인지x/배경 인지 o, 벽 o, 벽 있을 때 기억 잘 됨</t>
  </si>
  <si>
    <t>몬스터: 그냥 기억/위치: 선 그리면서</t>
  </si>
  <si>
    <t>몬스터: 1번 3번만 기억남</t>
  </si>
  <si>
    <t>몬스터도 기억하려 함</t>
  </si>
  <si>
    <t>단어 소리내서 암기/떠올리기 때 손으로 그려봄/단어 넘어갈 때 있는 달 예시도 질문에 포함되는 줄 알고 x 누르고 헷갈려 함</t>
  </si>
  <si>
    <t>재밌었지만 어려웠어요/소리 똑같았어요/벽 방해됨</t>
  </si>
  <si>
    <t>몬스터:레인보우 같은 걸로/위치: 그냥</t>
  </si>
  <si>
    <t>몬스터도 생각, 어떻게는 모름</t>
  </si>
  <si>
    <t>본 task부터</t>
  </si>
  <si>
    <t>ser 2</t>
  </si>
  <si>
    <t>연습: 소극적이고 부끄러움이 많음. 선택하고 싶은 거 바로 빨간 버튼 안 누르고 실험자 쳐다봄-&gt;선택하고 싶으면 빨간색 두 번 누르라고 함/본 게임부턴 혼자 알아서 입력함/단어게임 입력 반응 느려서 그냥 넘어간 것도 있음</t>
  </si>
  <si>
    <t>재밌었어요/소리 달라지지 않음/벽 있었고, 카키색 중간에 가로막고 있음. 방해됐어요</t>
  </si>
  <si>
    <t>몬스터: 모양 보고 기억/위치: 모르겠어요</t>
  </si>
  <si>
    <t>몬스터: 4번인듯(털 복실해서)/위치: 카키 방 제일 왼쪽 끝. 여기가 쉬웠어요</t>
  </si>
  <si>
    <t>몬스터 계속 기억하려고 함</t>
  </si>
  <si>
    <t>침착하게 잘 함. 잘 집중해줌</t>
  </si>
  <si>
    <t>재밌었어요/두방 같은 소리, 방 안에서는 다름/배경 달라진 거 없음, 벽 도움됨</t>
  </si>
  <si>
    <t>몬스터: 색/위치: 모양</t>
  </si>
  <si>
    <t>몬스터: 3번/ 위치는x</t>
  </si>
  <si>
    <t>몬스터도, 머리속으로 암기</t>
  </si>
  <si>
    <t>set 9</t>
  </si>
  <si>
    <t>재밌었어요/소리 두 방 다름/벽 도움되는지 잘 모르겠음</t>
  </si>
  <si>
    <t>몬스터: 좋아하는 순서대로/위치: 그냥</t>
  </si>
  <si>
    <t>몬스터: 3번/위치: 초록 방에서 왼쪽 구멍 중 가운데</t>
  </si>
  <si>
    <t>단어만 열심히</t>
  </si>
  <si>
    <t>침착, 조용, 말 수 없는 편/run 1 trial 1 단어게임 아마도 '계란'에서 답이 o인데 x 눌렀다가 다시 o 누름/run 4 단어게임 때 지루해서 버튼 조금 누름</t>
  </si>
  <si>
    <t>모르겠어요/소리 두 방에서 다른지는 모르겠음, 방 안에서는 같은 소리/배경 변화 모르겠음, 벽 도움됨</t>
  </si>
  <si>
    <t>몬스터: 별명 지음, 좋아하는 순서로/ 위치: 선으로 그림 그리듯이</t>
  </si>
  <si>
    <t>몬스터: 5번(위에 물결 모양 아래로 둥근)/위치: cont 1 제일 왼쪽 위, cont 2 제일 오른쪽 끝</t>
  </si>
  <si>
    <t>몬스터, 별명 짓고 있었음</t>
  </si>
  <si>
    <t>오전 11:30</t>
  </si>
  <si>
    <t>박찬규</t>
  </si>
  <si>
    <t>박희진/박영돈</t>
  </si>
  <si>
    <t>010-9772-9386</t>
  </si>
  <si>
    <t>203 &amp; 204 형제</t>
  </si>
  <si>
    <t>오후 12:30</t>
  </si>
  <si>
    <t>권단아</t>
  </si>
  <si>
    <t>이지연</t>
  </si>
  <si>
    <t>010-2093-3699</t>
  </si>
  <si>
    <t>박솔</t>
  </si>
  <si>
    <t>강하은</t>
  </si>
  <si>
    <t>010-8872-2996</t>
  </si>
  <si>
    <t>오후 2:30</t>
  </si>
  <si>
    <t>사전예약(직전)</t>
  </si>
  <si>
    <t>김도은</t>
  </si>
  <si>
    <t>김종윤</t>
  </si>
  <si>
    <t>010-2794-4645</t>
  </si>
  <si>
    <t>YJ</t>
  </si>
  <si>
    <t>오후 4:30</t>
  </si>
  <si>
    <t>손지호</t>
  </si>
  <si>
    <t>원은혜</t>
  </si>
  <si>
    <t>010-6618-2360</t>
  </si>
  <si>
    <t>오전 10:30</t>
  </si>
  <si>
    <t>방윤서</t>
  </si>
  <si>
    <t>방시웅</t>
  </si>
  <si>
    <t>010-4073-1224</t>
  </si>
  <si>
    <t>SJM</t>
  </si>
  <si>
    <t>HS+pad</t>
  </si>
  <si>
    <t>4keys</t>
  </si>
  <si>
    <t>현장접수(문자)</t>
  </si>
  <si>
    <t>우시아</t>
  </si>
  <si>
    <t>원아현</t>
  </si>
  <si>
    <t>010-5316-3439</t>
  </si>
  <si>
    <t>Pink+S4</t>
  </si>
  <si>
    <t>김주안</t>
  </si>
  <si>
    <t>정영희</t>
  </si>
  <si>
    <t>010-9991-3445</t>
  </si>
  <si>
    <t>CYR</t>
  </si>
  <si>
    <t>White+S1</t>
  </si>
  <si>
    <t>정시원</t>
  </si>
  <si>
    <t>윤은진</t>
  </si>
  <si>
    <t>010-4152-3004</t>
  </si>
  <si>
    <t>KJW</t>
  </si>
  <si>
    <t>Yoga+pad</t>
  </si>
  <si>
    <t>신가원</t>
  </si>
  <si>
    <t>황자민</t>
  </si>
  <si>
    <t>010-9609-9788</t>
  </si>
  <si>
    <t>윤슬</t>
  </si>
  <si>
    <t>황인혜</t>
  </si>
  <si>
    <t>010-7185-2120</t>
  </si>
  <si>
    <t>203 &amp; 204 쌍둥이 자매</t>
  </si>
  <si>
    <t>윤솔</t>
  </si>
  <si>
    <t>현장모객</t>
  </si>
  <si>
    <t>강이준</t>
  </si>
  <si>
    <t>노은영</t>
  </si>
  <si>
    <t>010-4053-8300</t>
  </si>
  <si>
    <t>산만함</t>
  </si>
  <si>
    <t>이도윤</t>
  </si>
  <si>
    <t>김태이</t>
  </si>
  <si>
    <t>010-8515-5657</t>
  </si>
  <si>
    <t>아이 산만</t>
  </si>
  <si>
    <t>현장신청</t>
  </si>
  <si>
    <t>김하윤</t>
  </si>
  <si>
    <t>황경애</t>
  </si>
  <si>
    <t>010-3784-7572</t>
  </si>
  <si>
    <t>차수민</t>
  </si>
  <si>
    <t>정희원</t>
  </si>
  <si>
    <t>010-3993-5247</t>
  </si>
  <si>
    <t>최지민</t>
  </si>
  <si>
    <t>오정화</t>
  </si>
  <si>
    <t>010-2523-1203</t>
  </si>
  <si>
    <t>White+tab</t>
  </si>
  <si>
    <t>김소윤</t>
  </si>
  <si>
    <t>김경환</t>
  </si>
  <si>
    <t>010-3464-7255</t>
  </si>
  <si>
    <t>303, 304 쌍둥이 남매</t>
  </si>
  <si>
    <t>김재현</t>
  </si>
  <si>
    <t>Yoga+ipad</t>
  </si>
  <si>
    <t>안시환</t>
  </si>
  <si>
    <t>이희정</t>
  </si>
  <si>
    <t>010-3368-9117</t>
  </si>
  <si>
    <t>d</t>
  </si>
  <si>
    <t>아이가 노브 돌려서 코드 오류, practice와 본 task 사이 텀 길었음. / 중간에 다른 버튼 눌러서 꺼짐. RUN 두개밖에 ㅠ</t>
  </si>
  <si>
    <t>데이터 없었음</t>
    <phoneticPr fontId="1" type="noConversion"/>
  </si>
  <si>
    <t>심현보</t>
  </si>
  <si>
    <t>심재현</t>
  </si>
  <si>
    <t>010-7659-9789</t>
  </si>
  <si>
    <t>산만하고 동작이 큼 (다른 사람들 있는데 소리를 크게 내거나 뛰어 다님), 근데 아버지도 그러심 // trial 6-7?까지 하고 그만뒀다구 함</t>
  </si>
  <si>
    <t>오지후</t>
  </si>
  <si>
    <t>차동민</t>
  </si>
  <si>
    <t>010-5067-3418</t>
  </si>
  <si>
    <t>못하겠다고 해서 실험 중단</t>
  </si>
  <si>
    <t>이서윤</t>
  </si>
  <si>
    <t>이정견</t>
  </si>
  <si>
    <t>010-4200-8242</t>
  </si>
  <si>
    <t>버튼 조작 이해하는데 시간이 넘 오래걸려서 (30mins) practice code 만 하고 결과내서 보냄.</t>
  </si>
  <si>
    <t>김다윤</t>
  </si>
  <si>
    <t>이다현</t>
  </si>
  <si>
    <t>010-4122-8901</t>
  </si>
  <si>
    <t>이동엽</t>
  </si>
  <si>
    <t>010-5195-5158</t>
  </si>
  <si>
    <t>설문 미참여 -&gt; 안내 =&gt; 집 가면서 하신다고 함</t>
  </si>
  <si>
    <t>오후 3:30</t>
  </si>
  <si>
    <t>김연재</t>
  </si>
  <si>
    <t>이다정</t>
  </si>
  <si>
    <t>010-5381-4280</t>
  </si>
  <si>
    <t>어수민</t>
  </si>
  <si>
    <t>김미주</t>
  </si>
  <si>
    <t>010-6711-9170</t>
  </si>
  <si>
    <t>데이터 안옮겼었음</t>
    <phoneticPr fontId="1" type="noConversion"/>
  </si>
  <si>
    <t>정은호</t>
  </si>
  <si>
    <t>김주희</t>
  </si>
  <si>
    <t>010-4946-2780</t>
  </si>
  <si>
    <t>HS+tab(모니터x)</t>
  </si>
  <si>
    <t>O</t>
  </si>
  <si>
    <t>아이 부모테이블에서 설명들을 때 산만한 편.</t>
  </si>
  <si>
    <t>김리아</t>
  </si>
  <si>
    <t>김용욱</t>
  </si>
  <si>
    <t>010-4016-7063</t>
  </si>
  <si>
    <t>LYJ</t>
  </si>
  <si>
    <t>설문 누락-&gt;오후작성</t>
  </si>
  <si>
    <t>Preference 활용 불가!!!</t>
  </si>
  <si>
    <t>홍지원</t>
  </si>
  <si>
    <t>김수연</t>
  </si>
  <si>
    <t>010-9985-3757</t>
  </si>
  <si>
    <t>다시 확인필요</t>
  </si>
  <si>
    <t>203 &amp; 204 쌍둥이</t>
  </si>
  <si>
    <t>(3 run 끝나고 볼륨조절하려다가 matlab 멎음) 2 run 더함 ㅠ</t>
  </si>
  <si>
    <t>홍지호</t>
  </si>
  <si>
    <t>이시헌</t>
  </si>
  <si>
    <t>이태훈</t>
  </si>
  <si>
    <t>010-7588-7599</t>
  </si>
  <si>
    <t>401 -&gt; 205 로 옮김, 아버님 다시 오셔서 커피 쫙 사다주심</t>
  </si>
  <si>
    <t>은서빈</t>
  </si>
  <si>
    <t>심희정</t>
  </si>
  <si>
    <t>010-3704-9167</t>
  </si>
  <si>
    <t>이해윤</t>
  </si>
  <si>
    <t>김유림</t>
  </si>
  <si>
    <t>010-2379-1370</t>
  </si>
  <si>
    <t>203 &amp; 204 쌍둥이, 발달 지연 및 경계성 지능 진단</t>
  </si>
  <si>
    <t>서예훈</t>
  </si>
  <si>
    <t>서소라</t>
  </si>
  <si>
    <t>010-8771-4889</t>
  </si>
  <si>
    <t>HS+tab</t>
  </si>
  <si>
    <t>101 &amp; 102 형제</t>
  </si>
  <si>
    <t>미디어 (컴퓨터 화면/게임) 노출에 대한 거부감</t>
  </si>
  <si>
    <t>조이안</t>
  </si>
  <si>
    <t>최유림</t>
  </si>
  <si>
    <t>010-4148-5512</t>
  </si>
  <si>
    <t>김별</t>
  </si>
  <si>
    <t>김상태</t>
  </si>
  <si>
    <t>010-8867-1020</t>
  </si>
  <si>
    <t>202 &amp; 203 남매, 막내는 어려서 참여 x</t>
  </si>
  <si>
    <t>Trial 7개밖에 안 함. (다른 가족들 끝나서 그만하고싶었던 듯)</t>
  </si>
  <si>
    <t>서이준</t>
  </si>
  <si>
    <t>이종화</t>
  </si>
  <si>
    <t>010-9923-7695</t>
  </si>
  <si>
    <t>Trial 6개밖에 안 함.</t>
  </si>
  <si>
    <t>현장참여</t>
  </si>
  <si>
    <t>이온유</t>
  </si>
  <si>
    <t>임경미</t>
  </si>
  <si>
    <t>010-8317-2280</t>
  </si>
  <si>
    <t>정서윤</t>
  </si>
  <si>
    <t>정용선</t>
  </si>
  <si>
    <t>010-4937-2464</t>
  </si>
  <si>
    <t>부모 설문에 2025년생이라고 잘못쓰셔서 수기로 고침</t>
  </si>
  <si>
    <t>박조이</t>
  </si>
  <si>
    <t>이혜경</t>
  </si>
  <si>
    <t>010-3499-5516</t>
  </si>
  <si>
    <t>403&amp;404 이란성 쌍둥이</t>
  </si>
  <si>
    <t>박재이</t>
  </si>
  <si>
    <t>정아인</t>
  </si>
  <si>
    <t>허선욱</t>
  </si>
  <si>
    <t>010-4656-8559</t>
  </si>
  <si>
    <t>조윤수</t>
  </si>
  <si>
    <t>010-4248-8994</t>
  </si>
  <si>
    <t>양시원</t>
  </si>
  <si>
    <t>김상아</t>
  </si>
  <si>
    <t>010-6419-0056</t>
  </si>
  <si>
    <t>RJY</t>
  </si>
  <si>
    <t>3+knob</t>
  </si>
  <si>
    <t>전윤오</t>
  </si>
  <si>
    <t>010-9941-0956</t>
  </si>
  <si>
    <t>ADHD 진단 경력, task할 때도 불안해 함.</t>
  </si>
  <si>
    <t>강하온</t>
  </si>
  <si>
    <t>010-2395-4344</t>
  </si>
  <si>
    <t>303 &amp; 304 자매</t>
  </si>
  <si>
    <t>강하윤</t>
  </si>
  <si>
    <t>김희연</t>
  </si>
  <si>
    <t>김유노</t>
  </si>
  <si>
    <t>박선이</t>
  </si>
  <si>
    <t>010-4408-1486</t>
  </si>
  <si>
    <t>오서율</t>
  </si>
  <si>
    <t>오병일</t>
  </si>
  <si>
    <t>010-3355-7357</t>
  </si>
  <si>
    <t>302 &amp; 303 &amp; 304 삼형제</t>
  </si>
  <si>
    <t>김하연</t>
  </si>
  <si>
    <t>김준동</t>
  </si>
  <si>
    <t>010-2027-8947</t>
  </si>
  <si>
    <t>임정숙/조병철</t>
  </si>
  <si>
    <t>국가연/전원준</t>
  </si>
  <si>
    <t>김희연/강정호</t>
  </si>
  <si>
    <t>천지우</t>
  </si>
  <si>
    <t>전희정</t>
  </si>
  <si>
    <t>010-2652-6046</t>
  </si>
  <si>
    <t>없엄</t>
  </si>
  <si>
    <t>찾음</t>
  </si>
  <si>
    <t>전하율</t>
  </si>
  <si>
    <t>010-9875-1725</t>
  </si>
  <si>
    <t>401 &amp; 402 남매</t>
  </si>
  <si>
    <t>하정민/전영호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</si>
</sst>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14" fontId="2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0" fontId="0" fillId="0" borderId="0" xfId="0" applyNumberFormat="1">
      <alignment vertical="center"/>
    </xf>
    <xf numFmtId="0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123C-CD7D-4923-AB81-BEDCBE58C125}">
  <dimension ref="A1:AH82"/>
  <sheetViews>
    <sheetView tabSelected="1" topLeftCell="A46" zoomScale="70" zoomScaleNormal="70" workbookViewId="0">
      <selection activeCell="I75" sqref="I75"/>
    </sheetView>
  </sheetViews>
  <sheetFormatPr defaultRowHeight="16.5" x14ac:dyDescent="0.3"/>
  <cols>
    <col min="1" max="1" width="19.5" bestFit="1" customWidth="1"/>
    <col min="2" max="2" width="19.5" customWidth="1"/>
    <col min="3" max="3" width="12.5" customWidth="1"/>
    <col min="4" max="4" width="9.5" customWidth="1"/>
    <col min="5" max="5" width="10.375" customWidth="1"/>
    <col min="6" max="6" width="10.125" customWidth="1"/>
    <col min="7" max="7" width="11.25" customWidth="1"/>
    <col min="8" max="8" width="14.875" customWidth="1"/>
    <col min="9" max="9" width="16.25" customWidth="1"/>
    <col min="10" max="10" width="4.125" customWidth="1"/>
    <col min="11" max="11" width="12.5" customWidth="1"/>
    <col min="12" max="12" width="8.125" customWidth="1"/>
    <col min="13" max="13" width="6.875" customWidth="1"/>
    <col min="14" max="14" width="10" customWidth="1"/>
    <col min="15" max="15" width="18.125" customWidth="1"/>
    <col min="16" max="16" width="15.625" customWidth="1"/>
    <col min="17" max="17" width="34.625" customWidth="1"/>
    <col min="18" max="18" width="5.75" customWidth="1"/>
    <col min="20" max="20" width="12" style="6" bestFit="1" customWidth="1"/>
    <col min="21" max="21" width="9" style="6"/>
    <col min="24" max="24" width="16.875" customWidth="1"/>
  </cols>
  <sheetData>
    <row r="1" spans="1:34" x14ac:dyDescent="0.3">
      <c r="A1" t="s">
        <v>17</v>
      </c>
      <c r="B1" t="s">
        <v>18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19</v>
      </c>
      <c r="S1" t="s">
        <v>20</v>
      </c>
      <c r="T1" s="6" t="s">
        <v>96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</row>
    <row r="2" spans="1:34" s="1" customFormat="1" x14ac:dyDescent="0.3">
      <c r="A2" s="1" t="s">
        <v>35</v>
      </c>
      <c r="B2" s="1">
        <f>250209000+E2</f>
        <v>250209201</v>
      </c>
      <c r="C2" s="4">
        <v>45697</v>
      </c>
      <c r="D2" s="3" t="s">
        <v>36</v>
      </c>
      <c r="E2" s="3">
        <v>201</v>
      </c>
      <c r="F2" s="3" t="s">
        <v>37</v>
      </c>
      <c r="G2" s="3" t="s">
        <v>38</v>
      </c>
      <c r="H2" s="3" t="s">
        <v>39</v>
      </c>
      <c r="I2" s="3" t="s">
        <v>40</v>
      </c>
      <c r="J2" s="4" t="s">
        <v>1</v>
      </c>
      <c r="K2" s="4">
        <v>43509</v>
      </c>
      <c r="L2" s="3">
        <v>71</v>
      </c>
      <c r="M2" s="3">
        <v>5</v>
      </c>
      <c r="N2" s="3">
        <v>5.99</v>
      </c>
      <c r="O2" s="3" t="s">
        <v>41</v>
      </c>
      <c r="P2" s="3" t="s">
        <v>42</v>
      </c>
      <c r="Q2" s="1" t="s">
        <v>43</v>
      </c>
      <c r="S2" s="5"/>
      <c r="T2" s="5"/>
      <c r="Z2" s="1" t="s">
        <v>158</v>
      </c>
      <c r="AC2" s="1" t="s">
        <v>159</v>
      </c>
      <c r="AD2" s="1" t="s">
        <v>160</v>
      </c>
      <c r="AE2" s="1" t="s">
        <v>161</v>
      </c>
      <c r="AF2" s="1" t="s">
        <v>162</v>
      </c>
      <c r="AG2" s="1" t="s">
        <v>163</v>
      </c>
      <c r="AH2" s="1" t="s">
        <v>164</v>
      </c>
    </row>
    <row r="3" spans="1:34" s="1" customFormat="1" x14ac:dyDescent="0.3">
      <c r="A3" s="1" t="s">
        <v>35</v>
      </c>
      <c r="B3" s="1">
        <f t="shared" ref="B3:B13" si="0">250209000+E3</f>
        <v>250209203</v>
      </c>
      <c r="C3" s="4">
        <v>45697</v>
      </c>
      <c r="D3" s="3" t="s">
        <v>36</v>
      </c>
      <c r="E3" s="3">
        <v>203</v>
      </c>
      <c r="F3" s="3" t="s">
        <v>37</v>
      </c>
      <c r="G3" s="3" t="s">
        <v>44</v>
      </c>
      <c r="H3" s="3" t="s">
        <v>45</v>
      </c>
      <c r="I3" s="3" t="s">
        <v>46</v>
      </c>
      <c r="J3" s="4" t="s">
        <v>47</v>
      </c>
      <c r="K3" s="4">
        <v>43783</v>
      </c>
      <c r="L3" s="3">
        <v>62</v>
      </c>
      <c r="M3" s="3">
        <v>5</v>
      </c>
      <c r="N3" s="3">
        <v>5.24</v>
      </c>
      <c r="O3" s="3" t="s">
        <v>48</v>
      </c>
      <c r="P3" s="3" t="s">
        <v>49</v>
      </c>
      <c r="Q3" s="1" t="s">
        <v>43</v>
      </c>
      <c r="R3" s="1" t="s">
        <v>50</v>
      </c>
      <c r="S3" s="5"/>
      <c r="T3" s="5"/>
      <c r="AC3" s="1" t="s">
        <v>165</v>
      </c>
      <c r="AD3" s="1" t="s">
        <v>166</v>
      </c>
      <c r="AE3" s="1" t="s">
        <v>167</v>
      </c>
      <c r="AF3" s="1" t="s">
        <v>168</v>
      </c>
      <c r="AG3" s="1" t="s">
        <v>169</v>
      </c>
      <c r="AH3" s="1" t="s">
        <v>164</v>
      </c>
    </row>
    <row r="4" spans="1:34" s="1" customFormat="1" x14ac:dyDescent="0.3">
      <c r="A4" s="1" t="s">
        <v>35</v>
      </c>
      <c r="B4" s="1">
        <f t="shared" si="0"/>
        <v>250209204</v>
      </c>
      <c r="C4" s="4">
        <v>45697</v>
      </c>
      <c r="D4" s="3" t="s">
        <v>36</v>
      </c>
      <c r="E4" s="3">
        <v>204</v>
      </c>
      <c r="F4" s="3" t="s">
        <v>37</v>
      </c>
      <c r="G4" s="3" t="s">
        <v>51</v>
      </c>
      <c r="H4" s="3" t="s">
        <v>52</v>
      </c>
      <c r="I4" s="3" t="s">
        <v>53</v>
      </c>
      <c r="J4" s="4" t="s">
        <v>1</v>
      </c>
      <c r="K4" s="4">
        <v>42657</v>
      </c>
      <c r="L4" s="3">
        <v>99</v>
      </c>
      <c r="M4" s="3">
        <v>8</v>
      </c>
      <c r="N4" s="3">
        <v>8.32</v>
      </c>
      <c r="O4" s="3" t="s">
        <v>54</v>
      </c>
      <c r="P4" s="3" t="s">
        <v>0</v>
      </c>
      <c r="Q4" s="1" t="s">
        <v>55</v>
      </c>
      <c r="R4" s="1" t="s">
        <v>50</v>
      </c>
      <c r="S4" s="5"/>
      <c r="T4" s="5"/>
      <c r="Y4" s="1" t="s">
        <v>170</v>
      </c>
      <c r="Z4" s="1" t="s">
        <v>158</v>
      </c>
      <c r="AC4" s="1" t="s">
        <v>171</v>
      </c>
      <c r="AD4" s="1" t="s">
        <v>172</v>
      </c>
      <c r="AE4" s="1" t="s">
        <v>173</v>
      </c>
      <c r="AF4" s="1" t="s">
        <v>174</v>
      </c>
      <c r="AG4" s="1" t="s">
        <v>175</v>
      </c>
      <c r="AH4" s="1" t="s">
        <v>176</v>
      </c>
    </row>
    <row r="5" spans="1:34" s="1" customFormat="1" x14ac:dyDescent="0.3">
      <c r="A5" s="1" t="s">
        <v>35</v>
      </c>
      <c r="B5" s="1">
        <f t="shared" si="0"/>
        <v>250209301</v>
      </c>
      <c r="C5" s="4">
        <v>45697</v>
      </c>
      <c r="D5" s="3" t="s">
        <v>56</v>
      </c>
      <c r="E5" s="3">
        <v>301</v>
      </c>
      <c r="F5" s="3" t="s">
        <v>37</v>
      </c>
      <c r="G5" s="3" t="s">
        <v>57</v>
      </c>
      <c r="H5" s="3" t="s">
        <v>58</v>
      </c>
      <c r="I5" s="3" t="s">
        <v>59</v>
      </c>
      <c r="J5" s="4" t="s">
        <v>47</v>
      </c>
      <c r="K5" s="4">
        <v>42450</v>
      </c>
      <c r="L5" s="3">
        <v>106</v>
      </c>
      <c r="M5" s="3">
        <v>8</v>
      </c>
      <c r="N5" s="3">
        <v>8.8800000000000008</v>
      </c>
      <c r="O5" s="3" t="s">
        <v>41</v>
      </c>
      <c r="P5" s="3" t="s">
        <v>42</v>
      </c>
      <c r="Q5" s="1" t="s">
        <v>43</v>
      </c>
      <c r="S5" s="5"/>
      <c r="T5" s="5"/>
      <c r="Z5" s="1" t="s">
        <v>158</v>
      </c>
      <c r="AC5" s="1" t="s">
        <v>177</v>
      </c>
      <c r="AD5" s="1" t="s">
        <v>178</v>
      </c>
      <c r="AE5" s="1" t="s">
        <v>179</v>
      </c>
      <c r="AF5" s="1" t="s">
        <v>180</v>
      </c>
      <c r="AG5" s="1" t="s">
        <v>181</v>
      </c>
      <c r="AH5" s="1" t="s">
        <v>182</v>
      </c>
    </row>
    <row r="6" spans="1:34" s="1" customFormat="1" x14ac:dyDescent="0.3">
      <c r="A6" s="1" t="s">
        <v>35</v>
      </c>
      <c r="B6" s="1">
        <f t="shared" si="0"/>
        <v>250209303</v>
      </c>
      <c r="C6" s="4">
        <v>45697</v>
      </c>
      <c r="D6" s="3" t="s">
        <v>56</v>
      </c>
      <c r="E6" s="3">
        <v>303</v>
      </c>
      <c r="F6" s="3" t="s">
        <v>37</v>
      </c>
      <c r="G6" s="3" t="s">
        <v>60</v>
      </c>
      <c r="H6" s="3" t="s">
        <v>61</v>
      </c>
      <c r="I6" s="3" t="s">
        <v>62</v>
      </c>
      <c r="J6" s="4" t="s">
        <v>47</v>
      </c>
      <c r="K6" s="4">
        <v>43165</v>
      </c>
      <c r="L6" s="3">
        <v>83</v>
      </c>
      <c r="M6" s="3">
        <v>6</v>
      </c>
      <c r="N6" s="3">
        <v>6.93</v>
      </c>
      <c r="O6" s="3" t="s">
        <v>48</v>
      </c>
      <c r="P6" s="3" t="s">
        <v>49</v>
      </c>
      <c r="Q6" s="1" t="s">
        <v>43</v>
      </c>
      <c r="R6" s="1" t="s">
        <v>63</v>
      </c>
      <c r="S6" s="5"/>
      <c r="T6" s="5"/>
      <c r="AC6" s="1" t="s">
        <v>183</v>
      </c>
      <c r="AD6" s="1" t="s">
        <v>184</v>
      </c>
      <c r="AE6" s="1" t="s">
        <v>185</v>
      </c>
      <c r="AF6" s="1" t="s">
        <v>186</v>
      </c>
      <c r="AG6" s="1" t="s">
        <v>187</v>
      </c>
      <c r="AH6" s="1" t="s">
        <v>188</v>
      </c>
    </row>
    <row r="7" spans="1:34" s="1" customFormat="1" x14ac:dyDescent="0.3">
      <c r="A7" s="1" t="s">
        <v>35</v>
      </c>
      <c r="B7" s="1">
        <f t="shared" si="0"/>
        <v>250209304</v>
      </c>
      <c r="C7" s="4">
        <v>45697</v>
      </c>
      <c r="D7" s="3" t="s">
        <v>56</v>
      </c>
      <c r="E7" s="3">
        <v>304</v>
      </c>
      <c r="F7" s="3" t="s">
        <v>37</v>
      </c>
      <c r="G7" s="3" t="s">
        <v>64</v>
      </c>
      <c r="H7" s="3" t="s">
        <v>65</v>
      </c>
      <c r="I7" s="3" t="s">
        <v>66</v>
      </c>
      <c r="J7" s="4" t="s">
        <v>47</v>
      </c>
      <c r="K7" s="4">
        <v>43270</v>
      </c>
      <c r="L7" s="3">
        <v>79</v>
      </c>
      <c r="M7" s="3">
        <v>6</v>
      </c>
      <c r="N7" s="3">
        <v>6.64</v>
      </c>
      <c r="O7" s="3" t="s">
        <v>54</v>
      </c>
      <c r="P7" s="3" t="s">
        <v>0</v>
      </c>
      <c r="Q7" s="1" t="s">
        <v>55</v>
      </c>
      <c r="R7" s="1" t="s">
        <v>67</v>
      </c>
      <c r="S7" s="5"/>
      <c r="T7" s="5"/>
      <c r="Y7" s="1" t="s">
        <v>170</v>
      </c>
      <c r="Z7" s="1" t="s">
        <v>158</v>
      </c>
      <c r="AC7" s="1" t="s">
        <v>189</v>
      </c>
      <c r="AD7" s="1" t="s">
        <v>190</v>
      </c>
      <c r="AE7" s="1" t="s">
        <v>191</v>
      </c>
      <c r="AF7" s="1" t="s">
        <v>192</v>
      </c>
      <c r="AG7" s="1" t="s">
        <v>193</v>
      </c>
      <c r="AH7" s="1" t="s">
        <v>194</v>
      </c>
    </row>
    <row r="8" spans="1:34" s="1" customFormat="1" x14ac:dyDescent="0.3">
      <c r="A8" s="1" t="s">
        <v>35</v>
      </c>
      <c r="B8" s="1">
        <f t="shared" si="0"/>
        <v>250209305</v>
      </c>
      <c r="C8" s="4">
        <v>45697</v>
      </c>
      <c r="D8" s="3" t="s">
        <v>56</v>
      </c>
      <c r="E8" s="3">
        <v>305</v>
      </c>
      <c r="F8" s="3" t="s">
        <v>37</v>
      </c>
      <c r="G8" s="3" t="s">
        <v>68</v>
      </c>
      <c r="H8" s="3" t="s">
        <v>69</v>
      </c>
      <c r="I8" s="3" t="s">
        <v>70</v>
      </c>
      <c r="J8" s="4" t="s">
        <v>1</v>
      </c>
      <c r="K8" s="4">
        <v>42621</v>
      </c>
      <c r="L8" s="3">
        <v>101</v>
      </c>
      <c r="M8" s="3">
        <v>8</v>
      </c>
      <c r="N8" s="3">
        <v>8.42</v>
      </c>
      <c r="O8" s="3" t="s">
        <v>71</v>
      </c>
      <c r="P8" s="3" t="s">
        <v>72</v>
      </c>
      <c r="Q8" s="1" t="s">
        <v>55</v>
      </c>
      <c r="R8" s="1" t="s">
        <v>67</v>
      </c>
      <c r="S8" s="5"/>
      <c r="T8" s="5"/>
      <c r="Z8" s="1" t="s">
        <v>195</v>
      </c>
      <c r="AC8" s="1" t="s">
        <v>196</v>
      </c>
      <c r="AE8" s="1" t="s">
        <v>197</v>
      </c>
      <c r="AF8" s="1" t="s">
        <v>198</v>
      </c>
      <c r="AG8" s="1" t="s">
        <v>199</v>
      </c>
      <c r="AH8" s="1" t="s">
        <v>200</v>
      </c>
    </row>
    <row r="9" spans="1:34" s="1" customFormat="1" x14ac:dyDescent="0.3">
      <c r="A9" s="1" t="s">
        <v>35</v>
      </c>
      <c r="B9" s="1">
        <f t="shared" si="0"/>
        <v>250209404</v>
      </c>
      <c r="C9" s="4">
        <v>45697</v>
      </c>
      <c r="D9" s="3" t="s">
        <v>73</v>
      </c>
      <c r="E9" s="3">
        <v>404</v>
      </c>
      <c r="F9" s="3" t="s">
        <v>37</v>
      </c>
      <c r="G9" s="3" t="s">
        <v>74</v>
      </c>
      <c r="H9" s="3" t="s">
        <v>75</v>
      </c>
      <c r="I9" s="3" t="s">
        <v>76</v>
      </c>
      <c r="J9" s="4" t="s">
        <v>47</v>
      </c>
      <c r="K9" s="4">
        <v>43225</v>
      </c>
      <c r="L9" s="3">
        <v>81</v>
      </c>
      <c r="M9" s="3">
        <v>6</v>
      </c>
      <c r="N9" s="3">
        <v>6.76</v>
      </c>
      <c r="O9" s="3" t="s">
        <v>54</v>
      </c>
      <c r="P9" s="3" t="s">
        <v>0</v>
      </c>
      <c r="Q9" s="1" t="s">
        <v>55</v>
      </c>
      <c r="S9" s="5"/>
      <c r="T9" s="5"/>
      <c r="Y9" s="1" t="s">
        <v>170</v>
      </c>
      <c r="Z9" s="1" t="s">
        <v>158</v>
      </c>
      <c r="AC9" s="1" t="s">
        <v>201</v>
      </c>
      <c r="AD9" s="1" t="s">
        <v>202</v>
      </c>
      <c r="AE9" s="1" t="s">
        <v>203</v>
      </c>
      <c r="AF9" s="1" t="s">
        <v>204</v>
      </c>
      <c r="AG9" s="1" t="s">
        <v>187</v>
      </c>
      <c r="AH9" s="1" t="s">
        <v>164</v>
      </c>
    </row>
    <row r="10" spans="1:34" s="1" customFormat="1" x14ac:dyDescent="0.3">
      <c r="A10" s="1" t="s">
        <v>35</v>
      </c>
      <c r="B10" s="1">
        <f t="shared" si="0"/>
        <v>250209501</v>
      </c>
      <c r="C10" s="4">
        <v>45697</v>
      </c>
      <c r="D10" s="3" t="s">
        <v>77</v>
      </c>
      <c r="E10" s="3">
        <v>501</v>
      </c>
      <c r="F10" s="3" t="s">
        <v>37</v>
      </c>
      <c r="G10" s="3" t="s">
        <v>78</v>
      </c>
      <c r="H10" s="3" t="s">
        <v>79</v>
      </c>
      <c r="I10" s="3" t="s">
        <v>80</v>
      </c>
      <c r="J10" s="4" t="s">
        <v>1</v>
      </c>
      <c r="K10" s="4">
        <v>42871</v>
      </c>
      <c r="L10" s="3">
        <v>92</v>
      </c>
      <c r="M10" s="3">
        <v>7</v>
      </c>
      <c r="N10" s="3">
        <v>7.73</v>
      </c>
      <c r="O10" s="3" t="s">
        <v>41</v>
      </c>
      <c r="P10" s="3" t="s">
        <v>42</v>
      </c>
      <c r="Q10" s="1" t="s">
        <v>43</v>
      </c>
      <c r="S10" s="5"/>
      <c r="T10" s="5"/>
      <c r="AC10" s="1" t="s">
        <v>205</v>
      </c>
      <c r="AD10" s="1" t="s">
        <v>206</v>
      </c>
      <c r="AE10" s="1" t="s">
        <v>207</v>
      </c>
      <c r="AF10" s="1" t="s">
        <v>208</v>
      </c>
      <c r="AG10" s="1" t="s">
        <v>209</v>
      </c>
      <c r="AH10" s="1" t="s">
        <v>210</v>
      </c>
    </row>
    <row r="11" spans="1:34" s="1" customFormat="1" x14ac:dyDescent="0.3">
      <c r="A11" s="1" t="s">
        <v>35</v>
      </c>
      <c r="B11" s="1">
        <f t="shared" si="0"/>
        <v>250209504</v>
      </c>
      <c r="C11" s="4">
        <v>45697</v>
      </c>
      <c r="D11" s="3" t="s">
        <v>77</v>
      </c>
      <c r="E11" s="3">
        <v>504</v>
      </c>
      <c r="F11" s="3" t="s">
        <v>37</v>
      </c>
      <c r="G11" s="3" t="s">
        <v>81</v>
      </c>
      <c r="H11" s="3" t="s">
        <v>82</v>
      </c>
      <c r="I11" s="3" t="s">
        <v>83</v>
      </c>
      <c r="J11" s="4" t="s">
        <v>1</v>
      </c>
      <c r="K11" s="4">
        <v>43179</v>
      </c>
      <c r="L11" s="3">
        <v>82</v>
      </c>
      <c r="M11" s="3">
        <v>6</v>
      </c>
      <c r="N11" s="3">
        <v>6.89</v>
      </c>
      <c r="O11" s="3" t="s">
        <v>54</v>
      </c>
      <c r="P11" s="3" t="s">
        <v>0</v>
      </c>
      <c r="Q11" s="1" t="s">
        <v>55</v>
      </c>
      <c r="R11" s="1" t="s">
        <v>84</v>
      </c>
      <c r="S11" s="5" t="s">
        <v>94</v>
      </c>
      <c r="T11" s="5" t="s">
        <v>95</v>
      </c>
      <c r="Y11" s="1" t="s">
        <v>170</v>
      </c>
      <c r="Z11" s="1" t="s">
        <v>158</v>
      </c>
      <c r="AC11" s="1" t="s">
        <v>211</v>
      </c>
      <c r="AD11" s="1" t="s">
        <v>212</v>
      </c>
      <c r="AE11" s="1" t="s">
        <v>213</v>
      </c>
      <c r="AF11" s="1" t="s">
        <v>187</v>
      </c>
      <c r="AG11" s="1" t="s">
        <v>214</v>
      </c>
      <c r="AH11" s="1" t="s">
        <v>164</v>
      </c>
    </row>
    <row r="12" spans="1:34" s="1" customFormat="1" x14ac:dyDescent="0.3">
      <c r="A12" s="1" t="s">
        <v>35</v>
      </c>
      <c r="B12" s="1">
        <f t="shared" si="0"/>
        <v>250209603</v>
      </c>
      <c r="C12" s="4">
        <v>45697</v>
      </c>
      <c r="D12" s="3" t="s">
        <v>85</v>
      </c>
      <c r="E12" s="3">
        <v>603</v>
      </c>
      <c r="F12" s="3" t="s">
        <v>37</v>
      </c>
      <c r="G12" s="3" t="s">
        <v>86</v>
      </c>
      <c r="H12" s="3" t="s">
        <v>87</v>
      </c>
      <c r="I12" s="3" t="s">
        <v>88</v>
      </c>
      <c r="J12" s="4" t="s">
        <v>1</v>
      </c>
      <c r="K12" s="4">
        <v>43778</v>
      </c>
      <c r="L12" s="3">
        <v>63</v>
      </c>
      <c r="M12" s="3">
        <v>5</v>
      </c>
      <c r="N12" s="3">
        <v>5.25</v>
      </c>
      <c r="O12" s="3" t="s">
        <v>48</v>
      </c>
      <c r="P12" s="3" t="s">
        <v>49</v>
      </c>
      <c r="Q12" s="1" t="s">
        <v>43</v>
      </c>
      <c r="S12" s="5"/>
      <c r="T12" s="5"/>
      <c r="AC12" s="1" t="s">
        <v>215</v>
      </c>
      <c r="AD12" s="1" t="s">
        <v>216</v>
      </c>
      <c r="AE12" s="1" t="s">
        <v>217</v>
      </c>
      <c r="AF12" s="1" t="s">
        <v>218</v>
      </c>
      <c r="AG12" s="1" t="s">
        <v>219</v>
      </c>
      <c r="AH12" s="1" t="s">
        <v>220</v>
      </c>
    </row>
    <row r="13" spans="1:34" s="1" customFormat="1" x14ac:dyDescent="0.3">
      <c r="A13" s="1" t="s">
        <v>35</v>
      </c>
      <c r="B13" s="1">
        <f t="shared" si="0"/>
        <v>250209605</v>
      </c>
      <c r="C13" s="4">
        <v>45697</v>
      </c>
      <c r="D13" s="3" t="s">
        <v>85</v>
      </c>
      <c r="E13" s="3">
        <v>605</v>
      </c>
      <c r="F13" s="3" t="s">
        <v>89</v>
      </c>
      <c r="G13" s="3" t="s">
        <v>90</v>
      </c>
      <c r="H13" s="3" t="s">
        <v>91</v>
      </c>
      <c r="I13" s="3" t="s">
        <v>92</v>
      </c>
      <c r="J13" s="4" t="s">
        <v>1</v>
      </c>
      <c r="K13" s="4">
        <v>43193</v>
      </c>
      <c r="L13" s="3">
        <v>82</v>
      </c>
      <c r="M13" s="3">
        <v>6</v>
      </c>
      <c r="N13" s="3">
        <v>6.85</v>
      </c>
      <c r="O13" s="3" t="s">
        <v>71</v>
      </c>
      <c r="P13" s="3" t="s">
        <v>72</v>
      </c>
      <c r="Q13" s="1" t="s">
        <v>55</v>
      </c>
      <c r="R13" s="1" t="s">
        <v>93</v>
      </c>
      <c r="S13" s="5"/>
      <c r="T13" s="5"/>
      <c r="Z13" s="1" t="s">
        <v>158</v>
      </c>
      <c r="AC13" s="1" t="s">
        <v>196</v>
      </c>
      <c r="AE13" s="1" t="s">
        <v>221</v>
      </c>
      <c r="AF13" s="1" t="s">
        <v>222</v>
      </c>
      <c r="AG13" s="1" t="s">
        <v>223</v>
      </c>
      <c r="AH13" s="1" t="s">
        <v>224</v>
      </c>
    </row>
    <row r="14" spans="1:34" s="1" customFormat="1" x14ac:dyDescent="0.3">
      <c r="A14" s="1" t="s">
        <v>35</v>
      </c>
      <c r="B14" s="1">
        <f>250216000+E14</f>
        <v>250216103</v>
      </c>
      <c r="C14" s="7">
        <v>45704</v>
      </c>
      <c r="D14" s="4" t="s">
        <v>97</v>
      </c>
      <c r="E14" s="3">
        <v>103</v>
      </c>
      <c r="F14" s="3" t="s">
        <v>37</v>
      </c>
      <c r="G14" s="3" t="s">
        <v>98</v>
      </c>
      <c r="H14" s="3" t="s">
        <v>99</v>
      </c>
      <c r="I14" s="3" t="s">
        <v>100</v>
      </c>
      <c r="J14" s="4" t="s">
        <v>1</v>
      </c>
      <c r="K14" s="4">
        <v>43858</v>
      </c>
      <c r="L14" s="3">
        <v>60</v>
      </c>
      <c r="M14" s="3">
        <v>5</v>
      </c>
      <c r="N14" s="3">
        <v>5.05</v>
      </c>
      <c r="O14" s="3" t="s">
        <v>48</v>
      </c>
      <c r="P14" s="3" t="s">
        <v>49</v>
      </c>
      <c r="Q14" s="1" t="s">
        <v>55</v>
      </c>
      <c r="R14" s="1" t="s">
        <v>101</v>
      </c>
      <c r="S14" s="1" t="s">
        <v>102</v>
      </c>
      <c r="Z14" s="1" t="s">
        <v>158</v>
      </c>
      <c r="AC14" s="1" t="s">
        <v>189</v>
      </c>
      <c r="AD14" s="1" t="s">
        <v>225</v>
      </c>
      <c r="AE14" s="1" t="s">
        <v>226</v>
      </c>
      <c r="AF14" s="1" t="s">
        <v>227</v>
      </c>
      <c r="AG14" s="1" t="s">
        <v>228</v>
      </c>
      <c r="AH14" s="1" t="s">
        <v>229</v>
      </c>
    </row>
    <row r="15" spans="1:34" s="1" customFormat="1" x14ac:dyDescent="0.3">
      <c r="A15" s="1" t="s">
        <v>35</v>
      </c>
      <c r="B15" s="1">
        <f t="shared" ref="B15:B29" si="1">250216000+E15</f>
        <v>250216104</v>
      </c>
      <c r="C15" s="7">
        <v>45704</v>
      </c>
      <c r="D15" s="4" t="s">
        <v>97</v>
      </c>
      <c r="E15" s="3">
        <v>104</v>
      </c>
      <c r="F15" s="3" t="s">
        <v>37</v>
      </c>
      <c r="G15" s="3" t="s">
        <v>103</v>
      </c>
      <c r="H15" s="3" t="s">
        <v>104</v>
      </c>
      <c r="I15" s="3" t="s">
        <v>105</v>
      </c>
      <c r="J15" s="3" t="s">
        <v>1</v>
      </c>
      <c r="K15" s="4">
        <v>43364</v>
      </c>
      <c r="L15" s="3">
        <v>76</v>
      </c>
      <c r="M15" s="3">
        <v>6</v>
      </c>
      <c r="N15" s="3">
        <v>6.4</v>
      </c>
      <c r="O15" s="3" t="s">
        <v>106</v>
      </c>
      <c r="P15" s="3" t="s">
        <v>0</v>
      </c>
      <c r="Q15" s="3" t="s">
        <v>43</v>
      </c>
      <c r="U15" s="5"/>
      <c r="Y15" s="1" t="s">
        <v>170</v>
      </c>
      <c r="Z15" s="1" t="s">
        <v>158</v>
      </c>
      <c r="AC15" s="1" t="s">
        <v>205</v>
      </c>
      <c r="AD15" s="1" t="s">
        <v>230</v>
      </c>
      <c r="AF15" s="1" t="s">
        <v>231</v>
      </c>
      <c r="AG15" s="1" t="s">
        <v>232</v>
      </c>
      <c r="AH15" s="1" t="s">
        <v>233</v>
      </c>
    </row>
    <row r="16" spans="1:34" s="1" customFormat="1" x14ac:dyDescent="0.3">
      <c r="A16" s="1" t="s">
        <v>35</v>
      </c>
      <c r="B16" s="1">
        <f t="shared" si="1"/>
        <v>250216203</v>
      </c>
      <c r="C16" s="7">
        <v>45704</v>
      </c>
      <c r="D16" s="4" t="s">
        <v>36</v>
      </c>
      <c r="E16" s="3">
        <v>203</v>
      </c>
      <c r="F16" s="3" t="s">
        <v>37</v>
      </c>
      <c r="G16" s="3" t="s">
        <v>107</v>
      </c>
      <c r="H16" s="3" t="s">
        <v>108</v>
      </c>
      <c r="I16" s="3" t="s">
        <v>109</v>
      </c>
      <c r="J16" s="3" t="s">
        <v>47</v>
      </c>
      <c r="K16" s="4">
        <v>43669</v>
      </c>
      <c r="L16" s="3">
        <v>66</v>
      </c>
      <c r="M16" s="3">
        <v>5</v>
      </c>
      <c r="N16" s="3">
        <v>5.56</v>
      </c>
      <c r="O16" s="3" t="s">
        <v>48</v>
      </c>
      <c r="P16" s="3" t="s">
        <v>49</v>
      </c>
      <c r="Q16" s="3" t="s">
        <v>55</v>
      </c>
      <c r="U16" s="5"/>
      <c r="Z16" s="1" t="s">
        <v>158</v>
      </c>
      <c r="AC16" s="1" t="s">
        <v>234</v>
      </c>
      <c r="AD16" s="1" t="s">
        <v>235</v>
      </c>
      <c r="AE16" s="1" t="s">
        <v>236</v>
      </c>
      <c r="AF16" s="1" t="s">
        <v>237</v>
      </c>
      <c r="AG16" s="1" t="s">
        <v>187</v>
      </c>
      <c r="AH16" s="1" t="s">
        <v>238</v>
      </c>
    </row>
    <row r="17" spans="1:34" s="1" customFormat="1" x14ac:dyDescent="0.3">
      <c r="A17" s="1" t="s">
        <v>35</v>
      </c>
      <c r="B17" s="1">
        <f t="shared" si="1"/>
        <v>250216204</v>
      </c>
      <c r="C17" s="7">
        <v>45704</v>
      </c>
      <c r="D17" s="4" t="s">
        <v>36</v>
      </c>
      <c r="E17" s="3">
        <v>204</v>
      </c>
      <c r="F17" s="3" t="s">
        <v>37</v>
      </c>
      <c r="G17" s="3" t="s">
        <v>110</v>
      </c>
      <c r="H17" s="3" t="s">
        <v>111</v>
      </c>
      <c r="I17" s="3" t="s">
        <v>112</v>
      </c>
      <c r="J17" s="3" t="s">
        <v>1</v>
      </c>
      <c r="K17" s="4">
        <v>43869</v>
      </c>
      <c r="L17" s="3">
        <v>60</v>
      </c>
      <c r="M17" s="3">
        <v>5</v>
      </c>
      <c r="N17" s="3">
        <v>5.0199999999999996</v>
      </c>
      <c r="O17" s="3" t="s">
        <v>106</v>
      </c>
      <c r="P17" s="3" t="s">
        <v>0</v>
      </c>
      <c r="Q17" s="3" t="s">
        <v>43</v>
      </c>
      <c r="R17" s="1" t="s">
        <v>113</v>
      </c>
      <c r="U17" s="5"/>
      <c r="Y17" s="1" t="s">
        <v>170</v>
      </c>
      <c r="Z17" s="1" t="s">
        <v>239</v>
      </c>
      <c r="AC17" s="1" t="s">
        <v>240</v>
      </c>
      <c r="AD17" s="1" t="s">
        <v>241</v>
      </c>
      <c r="AE17" s="1" t="s">
        <v>242</v>
      </c>
      <c r="AF17" s="1" t="s">
        <v>243</v>
      </c>
      <c r="AG17" s="1" t="s">
        <v>244</v>
      </c>
      <c r="AH17" s="1" t="s">
        <v>245</v>
      </c>
    </row>
    <row r="18" spans="1:34" s="1" customFormat="1" x14ac:dyDescent="0.3">
      <c r="A18" s="1" t="s">
        <v>35</v>
      </c>
      <c r="B18" s="1">
        <f t="shared" si="1"/>
        <v>250216301</v>
      </c>
      <c r="C18" s="7">
        <v>45704</v>
      </c>
      <c r="D18" s="4" t="s">
        <v>56</v>
      </c>
      <c r="E18" s="3">
        <v>301</v>
      </c>
      <c r="F18" s="3" t="s">
        <v>114</v>
      </c>
      <c r="G18" s="3" t="s">
        <v>115</v>
      </c>
      <c r="H18" s="3" t="s">
        <v>116</v>
      </c>
      <c r="I18" s="3" t="s">
        <v>117</v>
      </c>
      <c r="J18" s="3" t="s">
        <v>1</v>
      </c>
      <c r="K18" s="4">
        <v>43419</v>
      </c>
      <c r="L18" s="3">
        <v>75</v>
      </c>
      <c r="M18" s="3">
        <v>6</v>
      </c>
      <c r="N18" s="3">
        <v>6.25</v>
      </c>
      <c r="O18" s="3" t="s">
        <v>41</v>
      </c>
      <c r="P18" s="3" t="s">
        <v>42</v>
      </c>
      <c r="Q18" s="3" t="s">
        <v>55</v>
      </c>
      <c r="U18" s="5"/>
      <c r="Z18" s="1" t="s">
        <v>158</v>
      </c>
      <c r="AC18" s="1" t="s">
        <v>189</v>
      </c>
      <c r="AD18" s="1" t="s">
        <v>246</v>
      </c>
      <c r="AE18" s="1" t="s">
        <v>247</v>
      </c>
      <c r="AF18" s="1" t="s">
        <v>248</v>
      </c>
      <c r="AG18" s="1" t="s">
        <v>249</v>
      </c>
      <c r="AH18" s="1" t="s">
        <v>250</v>
      </c>
    </row>
    <row r="19" spans="1:34" s="1" customFormat="1" x14ac:dyDescent="0.3">
      <c r="A19" s="1" t="s">
        <v>35</v>
      </c>
      <c r="B19" s="1">
        <f t="shared" si="1"/>
        <v>250216303</v>
      </c>
      <c r="C19" s="7">
        <v>45704</v>
      </c>
      <c r="D19" s="4" t="s">
        <v>56</v>
      </c>
      <c r="E19" s="3">
        <v>303</v>
      </c>
      <c r="F19" s="3" t="s">
        <v>118</v>
      </c>
      <c r="G19" s="3" t="s">
        <v>119</v>
      </c>
      <c r="H19" s="3" t="s">
        <v>120</v>
      </c>
      <c r="I19" s="3" t="s">
        <v>121</v>
      </c>
      <c r="J19" s="3" t="s">
        <v>1</v>
      </c>
      <c r="K19" s="4">
        <v>43199</v>
      </c>
      <c r="L19" s="3">
        <v>82</v>
      </c>
      <c r="M19" s="3">
        <v>6</v>
      </c>
      <c r="N19" s="3">
        <v>6.85</v>
      </c>
      <c r="O19" s="3" t="s">
        <v>48</v>
      </c>
      <c r="P19" s="3" t="s">
        <v>49</v>
      </c>
      <c r="Q19" s="3" t="s">
        <v>55</v>
      </c>
      <c r="R19" s="1" t="s">
        <v>156</v>
      </c>
      <c r="U19" s="5"/>
      <c r="Z19" s="1" t="s">
        <v>158</v>
      </c>
      <c r="AC19" s="1" t="s">
        <v>211</v>
      </c>
      <c r="AD19" s="1" t="s">
        <v>251</v>
      </c>
      <c r="AE19" s="1" t="s">
        <v>252</v>
      </c>
      <c r="AF19" s="1" t="s">
        <v>253</v>
      </c>
      <c r="AG19" s="1" t="s">
        <v>254</v>
      </c>
      <c r="AH19" s="1" t="s">
        <v>255</v>
      </c>
    </row>
    <row r="20" spans="1:34" s="1" customFormat="1" x14ac:dyDescent="0.3">
      <c r="A20" s="1" t="s">
        <v>35</v>
      </c>
      <c r="B20" s="1">
        <f t="shared" si="1"/>
        <v>250216304</v>
      </c>
      <c r="C20" s="7">
        <v>45704</v>
      </c>
      <c r="D20" s="4" t="s">
        <v>56</v>
      </c>
      <c r="E20" s="3">
        <v>304</v>
      </c>
      <c r="F20" s="3" t="s">
        <v>114</v>
      </c>
      <c r="G20" s="3" t="s">
        <v>122</v>
      </c>
      <c r="H20" s="3" t="s">
        <v>123</v>
      </c>
      <c r="I20" s="3" t="s">
        <v>124</v>
      </c>
      <c r="J20" s="3" t="s">
        <v>47</v>
      </c>
      <c r="K20" s="4">
        <v>42856</v>
      </c>
      <c r="L20" s="3">
        <v>93</v>
      </c>
      <c r="M20" s="3">
        <v>7</v>
      </c>
      <c r="N20" s="3">
        <v>7.79</v>
      </c>
      <c r="O20" s="3" t="s">
        <v>106</v>
      </c>
      <c r="P20" s="3" t="s">
        <v>0</v>
      </c>
      <c r="Q20" s="3" t="s">
        <v>43</v>
      </c>
      <c r="U20" s="5"/>
      <c r="Y20" s="1" t="s">
        <v>170</v>
      </c>
      <c r="Z20" s="1" t="s">
        <v>239</v>
      </c>
      <c r="AC20" s="1" t="s">
        <v>171</v>
      </c>
      <c r="AD20" s="1" t="s">
        <v>256</v>
      </c>
      <c r="AE20" s="1" t="s">
        <v>257</v>
      </c>
      <c r="AF20" s="1" t="s">
        <v>258</v>
      </c>
      <c r="AG20" s="1" t="s">
        <v>259</v>
      </c>
      <c r="AH20" s="1" t="s">
        <v>260</v>
      </c>
    </row>
    <row r="21" spans="1:34" s="1" customFormat="1" x14ac:dyDescent="0.3">
      <c r="A21" s="1" t="s">
        <v>35</v>
      </c>
      <c r="B21" s="1">
        <f t="shared" si="1"/>
        <v>250216305</v>
      </c>
      <c r="C21" s="7">
        <v>45704</v>
      </c>
      <c r="D21" s="4" t="s">
        <v>56</v>
      </c>
      <c r="E21" s="3">
        <v>305</v>
      </c>
      <c r="F21" s="3" t="s">
        <v>118</v>
      </c>
      <c r="G21" s="3" t="s">
        <v>125</v>
      </c>
      <c r="H21" s="3" t="s">
        <v>126</v>
      </c>
      <c r="I21" s="3" t="s">
        <v>127</v>
      </c>
      <c r="J21" s="3" t="s">
        <v>47</v>
      </c>
      <c r="K21" s="4">
        <v>43192</v>
      </c>
      <c r="L21" s="3">
        <v>82</v>
      </c>
      <c r="M21" s="3">
        <v>6</v>
      </c>
      <c r="N21" s="3">
        <v>6.87</v>
      </c>
      <c r="O21" s="3" t="s">
        <v>71</v>
      </c>
      <c r="P21" s="3" t="s">
        <v>72</v>
      </c>
      <c r="Q21" s="3" t="s">
        <v>43</v>
      </c>
      <c r="U21" s="5"/>
      <c r="Z21" s="1" t="s">
        <v>158</v>
      </c>
      <c r="AC21" s="1" t="s">
        <v>234</v>
      </c>
      <c r="AD21" s="1" t="s">
        <v>261</v>
      </c>
      <c r="AE21" s="1" t="s">
        <v>262</v>
      </c>
      <c r="AF21" s="1" t="s">
        <v>263</v>
      </c>
      <c r="AG21" s="1" t="s">
        <v>187</v>
      </c>
      <c r="AH21" s="1" t="s">
        <v>264</v>
      </c>
    </row>
    <row r="22" spans="1:34" s="1" customFormat="1" x14ac:dyDescent="0.3">
      <c r="A22" s="1" t="s">
        <v>35</v>
      </c>
      <c r="B22" s="1">
        <f t="shared" si="1"/>
        <v>250216403</v>
      </c>
      <c r="C22" s="7">
        <v>45704</v>
      </c>
      <c r="D22" s="4" t="s">
        <v>73</v>
      </c>
      <c r="E22" s="3">
        <v>403</v>
      </c>
      <c r="F22" s="3" t="s">
        <v>118</v>
      </c>
      <c r="G22" s="3" t="s">
        <v>128</v>
      </c>
      <c r="H22" s="3" t="s">
        <v>129</v>
      </c>
      <c r="I22" s="3" t="s">
        <v>130</v>
      </c>
      <c r="J22" s="3" t="s">
        <v>47</v>
      </c>
      <c r="K22" s="4">
        <v>43444</v>
      </c>
      <c r="L22" s="3">
        <v>74</v>
      </c>
      <c r="M22" s="3">
        <v>6</v>
      </c>
      <c r="N22" s="3">
        <v>6.18</v>
      </c>
      <c r="O22" s="3" t="s">
        <v>48</v>
      </c>
      <c r="P22" s="3" t="s">
        <v>49</v>
      </c>
      <c r="Q22" s="3" t="s">
        <v>55</v>
      </c>
      <c r="R22" s="1" t="s">
        <v>131</v>
      </c>
      <c r="U22" s="5"/>
      <c r="Z22" s="1" t="s">
        <v>158</v>
      </c>
      <c r="AC22" s="1" t="s">
        <v>189</v>
      </c>
      <c r="AD22" s="1" t="s">
        <v>265</v>
      </c>
      <c r="AE22" s="1" t="s">
        <v>266</v>
      </c>
      <c r="AF22" s="1" t="s">
        <v>267</v>
      </c>
      <c r="AG22" s="1" t="s">
        <v>268</v>
      </c>
      <c r="AH22" s="1" t="s">
        <v>250</v>
      </c>
    </row>
    <row r="23" spans="1:34" s="1" customFormat="1" x14ac:dyDescent="0.3">
      <c r="A23" s="1" t="s">
        <v>35</v>
      </c>
      <c r="B23" s="1">
        <f t="shared" si="1"/>
        <v>250216404</v>
      </c>
      <c r="C23" s="7">
        <v>45704</v>
      </c>
      <c r="D23" s="4" t="s">
        <v>73</v>
      </c>
      <c r="E23" s="3">
        <v>404</v>
      </c>
      <c r="F23" s="3" t="s">
        <v>37</v>
      </c>
      <c r="G23" s="3" t="s">
        <v>132</v>
      </c>
      <c r="H23" s="3" t="s">
        <v>133</v>
      </c>
      <c r="I23" s="3" t="s">
        <v>134</v>
      </c>
      <c r="J23" s="3" t="s">
        <v>47</v>
      </c>
      <c r="K23" s="4">
        <v>43811</v>
      </c>
      <c r="L23" s="3">
        <v>62</v>
      </c>
      <c r="M23" s="3">
        <v>5</v>
      </c>
      <c r="N23" s="3">
        <v>5.18</v>
      </c>
      <c r="O23" s="3" t="s">
        <v>106</v>
      </c>
      <c r="P23" s="3" t="s">
        <v>0</v>
      </c>
      <c r="Q23" s="3" t="s">
        <v>43</v>
      </c>
      <c r="U23" s="5"/>
      <c r="Y23" s="1" t="s">
        <v>170</v>
      </c>
      <c r="Z23" s="1" t="s">
        <v>269</v>
      </c>
      <c r="AC23" s="1" t="s">
        <v>270</v>
      </c>
      <c r="AD23" s="1" t="s">
        <v>271</v>
      </c>
      <c r="AE23" s="1" t="s">
        <v>272</v>
      </c>
      <c r="AF23" s="1" t="s">
        <v>273</v>
      </c>
      <c r="AG23" s="1" t="s">
        <v>274</v>
      </c>
      <c r="AH23" s="1" t="s">
        <v>275</v>
      </c>
    </row>
    <row r="24" spans="1:34" x14ac:dyDescent="0.3">
      <c r="A24" s="1" t="s">
        <v>35</v>
      </c>
      <c r="B24" s="1">
        <f t="shared" si="1"/>
        <v>250216501</v>
      </c>
      <c r="C24" s="7">
        <v>45704</v>
      </c>
      <c r="D24" s="4" t="s">
        <v>77</v>
      </c>
      <c r="E24" s="3">
        <v>501</v>
      </c>
      <c r="F24" s="3" t="s">
        <v>37</v>
      </c>
      <c r="G24" s="3" t="s">
        <v>135</v>
      </c>
      <c r="H24" s="3" t="s">
        <v>136</v>
      </c>
      <c r="I24" s="3" t="s">
        <v>137</v>
      </c>
      <c r="J24" s="3" t="s">
        <v>47</v>
      </c>
      <c r="K24" s="4">
        <v>43240</v>
      </c>
      <c r="L24" s="3">
        <v>80</v>
      </c>
      <c r="M24" s="3">
        <v>6</v>
      </c>
      <c r="N24" s="3">
        <v>6.74</v>
      </c>
      <c r="O24" s="3" t="s">
        <v>41</v>
      </c>
      <c r="P24" s="3" t="s">
        <v>42</v>
      </c>
      <c r="Q24" s="3" t="s">
        <v>55</v>
      </c>
      <c r="R24" t="s">
        <v>157</v>
      </c>
      <c r="T24"/>
      <c r="AC24" t="s">
        <v>171</v>
      </c>
      <c r="AD24" t="s">
        <v>276</v>
      </c>
      <c r="AE24" t="s">
        <v>277</v>
      </c>
      <c r="AF24" t="s">
        <v>278</v>
      </c>
      <c r="AG24" t="s">
        <v>279</v>
      </c>
      <c r="AH24" t="s">
        <v>280</v>
      </c>
    </row>
    <row r="25" spans="1:34" x14ac:dyDescent="0.3">
      <c r="A25" s="1" t="s">
        <v>35</v>
      </c>
      <c r="B25" s="1">
        <f t="shared" si="1"/>
        <v>250216503</v>
      </c>
      <c r="C25" s="7">
        <v>45704</v>
      </c>
      <c r="D25" s="4" t="s">
        <v>77</v>
      </c>
      <c r="E25" s="3">
        <v>503</v>
      </c>
      <c r="F25" s="3" t="s">
        <v>37</v>
      </c>
      <c r="G25" s="3" t="s">
        <v>138</v>
      </c>
      <c r="H25" s="3" t="s">
        <v>139</v>
      </c>
      <c r="I25" s="3" t="s">
        <v>140</v>
      </c>
      <c r="J25" s="3" t="s">
        <v>1</v>
      </c>
      <c r="K25" s="4">
        <v>43788</v>
      </c>
      <c r="L25" s="3">
        <v>62</v>
      </c>
      <c r="M25" s="3">
        <v>5</v>
      </c>
      <c r="N25" s="3">
        <v>5.24</v>
      </c>
      <c r="O25" s="3" t="s">
        <v>48</v>
      </c>
      <c r="P25" s="3" t="s">
        <v>49</v>
      </c>
      <c r="Q25" s="3" t="s">
        <v>55</v>
      </c>
      <c r="R25" s="1"/>
      <c r="T25"/>
      <c r="V25" s="1"/>
      <c r="Z25" t="s">
        <v>158</v>
      </c>
      <c r="AC25" t="s">
        <v>159</v>
      </c>
      <c r="AD25" t="s">
        <v>281</v>
      </c>
      <c r="AE25" t="s">
        <v>282</v>
      </c>
      <c r="AF25" t="s">
        <v>283</v>
      </c>
      <c r="AG25" t="s">
        <v>187</v>
      </c>
      <c r="AH25" t="s">
        <v>284</v>
      </c>
    </row>
    <row r="26" spans="1:34" x14ac:dyDescent="0.3">
      <c r="A26" s="1" t="s">
        <v>35</v>
      </c>
      <c r="B26" s="1">
        <f t="shared" si="1"/>
        <v>250216504</v>
      </c>
      <c r="C26" s="7">
        <v>45704</v>
      </c>
      <c r="D26" s="4" t="s">
        <v>77</v>
      </c>
      <c r="E26" s="3">
        <v>504</v>
      </c>
      <c r="F26" s="3" t="s">
        <v>37</v>
      </c>
      <c r="G26" s="3" t="s">
        <v>141</v>
      </c>
      <c r="H26" s="3" t="s">
        <v>142</v>
      </c>
      <c r="I26" s="3" t="s">
        <v>143</v>
      </c>
      <c r="J26" s="3" t="s">
        <v>1</v>
      </c>
      <c r="K26" s="4">
        <v>43352</v>
      </c>
      <c r="L26" s="3">
        <v>77</v>
      </c>
      <c r="M26" s="3">
        <v>6</v>
      </c>
      <c r="N26" s="3">
        <v>6.44</v>
      </c>
      <c r="O26" s="3" t="s">
        <v>106</v>
      </c>
      <c r="P26" s="3" t="s">
        <v>0</v>
      </c>
      <c r="Q26" s="3" t="s">
        <v>43</v>
      </c>
      <c r="T26"/>
      <c r="Y26" t="s">
        <v>285</v>
      </c>
      <c r="Z26" t="s">
        <v>158</v>
      </c>
      <c r="AC26" t="s">
        <v>286</v>
      </c>
      <c r="AD26" t="s">
        <v>287</v>
      </c>
      <c r="AE26" t="s">
        <v>288</v>
      </c>
      <c r="AF26" t="s">
        <v>289</v>
      </c>
      <c r="AG26" t="s">
        <v>290</v>
      </c>
      <c r="AH26" t="s">
        <v>291</v>
      </c>
    </row>
    <row r="27" spans="1:34" x14ac:dyDescent="0.3">
      <c r="A27" s="1" t="s">
        <v>35</v>
      </c>
      <c r="B27" s="1">
        <f t="shared" si="1"/>
        <v>250216505</v>
      </c>
      <c r="C27" s="7">
        <v>45704</v>
      </c>
      <c r="D27" s="4" t="s">
        <v>77</v>
      </c>
      <c r="E27" s="3">
        <v>505</v>
      </c>
      <c r="F27" s="3" t="s">
        <v>144</v>
      </c>
      <c r="G27" s="3" t="s">
        <v>145</v>
      </c>
      <c r="H27" s="3" t="s">
        <v>146</v>
      </c>
      <c r="I27" s="3" t="s">
        <v>147</v>
      </c>
      <c r="J27" s="3" t="s">
        <v>1</v>
      </c>
      <c r="K27" s="4">
        <v>42576</v>
      </c>
      <c r="L27" s="3">
        <v>102</v>
      </c>
      <c r="M27" s="3">
        <v>8</v>
      </c>
      <c r="N27" s="3">
        <v>8.56</v>
      </c>
      <c r="O27" s="3" t="s">
        <v>71</v>
      </c>
      <c r="P27" s="3" t="s">
        <v>72</v>
      </c>
      <c r="Q27" s="3" t="s">
        <v>43</v>
      </c>
      <c r="R27" t="s">
        <v>148</v>
      </c>
      <c r="T27"/>
      <c r="Z27" t="s">
        <v>158</v>
      </c>
      <c r="AC27" t="s">
        <v>234</v>
      </c>
      <c r="AD27" t="s">
        <v>292</v>
      </c>
      <c r="AE27" t="s">
        <v>293</v>
      </c>
      <c r="AF27" t="s">
        <v>294</v>
      </c>
      <c r="AG27" t="s">
        <v>295</v>
      </c>
      <c r="AH27" t="s">
        <v>296</v>
      </c>
    </row>
    <row r="28" spans="1:34" x14ac:dyDescent="0.3">
      <c r="A28" s="1" t="s">
        <v>35</v>
      </c>
      <c r="B28" s="1">
        <f t="shared" si="1"/>
        <v>250216603</v>
      </c>
      <c r="C28" s="7">
        <v>45704</v>
      </c>
      <c r="D28" s="4" t="s">
        <v>85</v>
      </c>
      <c r="E28" s="3">
        <v>603</v>
      </c>
      <c r="F28" s="3" t="s">
        <v>37</v>
      </c>
      <c r="G28" s="3" t="s">
        <v>149</v>
      </c>
      <c r="H28" s="3" t="s">
        <v>150</v>
      </c>
      <c r="I28" s="3" t="s">
        <v>151</v>
      </c>
      <c r="J28" s="3" t="s">
        <v>1</v>
      </c>
      <c r="K28" s="4">
        <v>43833</v>
      </c>
      <c r="L28" s="3">
        <v>61</v>
      </c>
      <c r="M28" s="3">
        <v>5</v>
      </c>
      <c r="N28" s="3">
        <v>5.12</v>
      </c>
      <c r="O28" s="3" t="s">
        <v>48</v>
      </c>
      <c r="P28" s="3" t="s">
        <v>49</v>
      </c>
      <c r="Q28" s="3" t="s">
        <v>55</v>
      </c>
      <c r="T28"/>
      <c r="Z28" t="s">
        <v>158</v>
      </c>
      <c r="AC28" t="s">
        <v>297</v>
      </c>
      <c r="AE28" t="s">
        <v>298</v>
      </c>
      <c r="AF28" t="s">
        <v>299</v>
      </c>
      <c r="AG28" t="s">
        <v>300</v>
      </c>
      <c r="AH28" t="s">
        <v>301</v>
      </c>
    </row>
    <row r="29" spans="1:34" x14ac:dyDescent="0.3">
      <c r="A29" s="1" t="s">
        <v>35</v>
      </c>
      <c r="B29" s="1">
        <f t="shared" si="1"/>
        <v>250216605</v>
      </c>
      <c r="C29" s="7">
        <v>45704</v>
      </c>
      <c r="D29" s="4" t="s">
        <v>85</v>
      </c>
      <c r="E29" s="3">
        <v>605</v>
      </c>
      <c r="F29" s="3" t="s">
        <v>144</v>
      </c>
      <c r="G29" s="3" t="s">
        <v>152</v>
      </c>
      <c r="H29" s="3" t="s">
        <v>153</v>
      </c>
      <c r="I29" s="3" t="s">
        <v>154</v>
      </c>
      <c r="J29" s="3" t="s">
        <v>1</v>
      </c>
      <c r="K29" s="4">
        <v>42833</v>
      </c>
      <c r="L29" s="3">
        <v>94</v>
      </c>
      <c r="M29" s="3">
        <v>7</v>
      </c>
      <c r="N29" s="3">
        <v>7.86</v>
      </c>
      <c r="O29" s="3" t="s">
        <v>71</v>
      </c>
      <c r="P29" s="3" t="s">
        <v>72</v>
      </c>
      <c r="Q29" s="3" t="s">
        <v>43</v>
      </c>
      <c r="R29" t="s">
        <v>155</v>
      </c>
      <c r="T29"/>
      <c r="Z29" t="s">
        <v>158</v>
      </c>
      <c r="AC29" t="s">
        <v>211</v>
      </c>
      <c r="AD29" t="s">
        <v>302</v>
      </c>
      <c r="AE29" t="s">
        <v>303</v>
      </c>
      <c r="AF29" t="s">
        <v>304</v>
      </c>
      <c r="AG29" t="s">
        <v>305</v>
      </c>
      <c r="AH29" t="s">
        <v>306</v>
      </c>
    </row>
    <row r="30" spans="1:34" x14ac:dyDescent="0.3">
      <c r="A30" s="1" t="s">
        <v>35</v>
      </c>
      <c r="B30" s="1">
        <f t="shared" ref="B30:B35" si="2">250301000+E30</f>
        <v>250301201</v>
      </c>
      <c r="C30" s="7">
        <v>45717</v>
      </c>
      <c r="D30" s="7" t="s">
        <v>307</v>
      </c>
      <c r="E30" s="8">
        <v>201</v>
      </c>
      <c r="F30" s="3" t="s">
        <v>37</v>
      </c>
      <c r="G30" s="3" t="s">
        <v>385</v>
      </c>
      <c r="H30" s="3" t="s">
        <v>386</v>
      </c>
      <c r="I30" s="3" t="s">
        <v>387</v>
      </c>
      <c r="J30" s="3" t="s">
        <v>47</v>
      </c>
      <c r="K30" s="4">
        <v>42843</v>
      </c>
      <c r="L30" s="3">
        <v>94</v>
      </c>
      <c r="M30" s="3">
        <v>7</v>
      </c>
      <c r="N30" s="3">
        <v>7.87</v>
      </c>
      <c r="O30" s="3" t="s">
        <v>41</v>
      </c>
      <c r="P30" s="3" t="s">
        <v>42</v>
      </c>
      <c r="Q30" s="3" t="s">
        <v>55</v>
      </c>
      <c r="R30" t="s">
        <v>390</v>
      </c>
      <c r="S30" t="s">
        <v>388</v>
      </c>
      <c r="T30"/>
      <c r="X30" t="s">
        <v>389</v>
      </c>
    </row>
    <row r="31" spans="1:34" x14ac:dyDescent="0.3">
      <c r="A31" s="1" t="s">
        <v>35</v>
      </c>
      <c r="B31" s="1">
        <f t="shared" si="2"/>
        <v>250301204</v>
      </c>
      <c r="C31" s="7">
        <v>45717</v>
      </c>
      <c r="D31" s="4" t="s">
        <v>307</v>
      </c>
      <c r="E31" s="3">
        <v>204</v>
      </c>
      <c r="F31" s="3" t="s">
        <v>37</v>
      </c>
      <c r="G31" s="3" t="s">
        <v>308</v>
      </c>
      <c r="H31" s="3" t="s">
        <v>309</v>
      </c>
      <c r="I31" s="3" t="s">
        <v>310</v>
      </c>
      <c r="J31" s="3" t="s">
        <v>47</v>
      </c>
      <c r="K31" s="4">
        <v>43020</v>
      </c>
      <c r="L31" s="3">
        <v>88</v>
      </c>
      <c r="M31" s="3">
        <v>7</v>
      </c>
      <c r="N31" s="3">
        <v>7.39</v>
      </c>
      <c r="O31" s="3" t="s">
        <v>71</v>
      </c>
      <c r="P31" s="3" t="s">
        <v>0</v>
      </c>
      <c r="Q31" s="3" t="s">
        <v>43</v>
      </c>
      <c r="W31" t="s">
        <v>311</v>
      </c>
    </row>
    <row r="32" spans="1:34" x14ac:dyDescent="0.3">
      <c r="A32" s="1" t="s">
        <v>35</v>
      </c>
      <c r="B32" s="1">
        <f t="shared" si="2"/>
        <v>250301301</v>
      </c>
      <c r="C32" s="7">
        <v>45717</v>
      </c>
      <c r="D32" s="4" t="s">
        <v>312</v>
      </c>
      <c r="E32" s="3">
        <v>301</v>
      </c>
      <c r="F32" s="3" t="s">
        <v>37</v>
      </c>
      <c r="G32" s="3" t="s">
        <v>313</v>
      </c>
      <c r="H32" s="3" t="s">
        <v>314</v>
      </c>
      <c r="I32" s="3" t="s">
        <v>315</v>
      </c>
      <c r="J32" s="3" t="s">
        <v>1</v>
      </c>
      <c r="K32" s="4">
        <v>43108</v>
      </c>
      <c r="L32" s="3">
        <v>85</v>
      </c>
      <c r="M32" s="3">
        <v>7</v>
      </c>
      <c r="N32" s="3">
        <v>7.15</v>
      </c>
      <c r="O32" s="3" t="s">
        <v>41</v>
      </c>
      <c r="P32" s="3" t="s">
        <v>42</v>
      </c>
      <c r="Q32" s="3" t="s">
        <v>55</v>
      </c>
    </row>
    <row r="33" spans="1:23" x14ac:dyDescent="0.3">
      <c r="A33" s="1" t="s">
        <v>35</v>
      </c>
      <c r="B33" s="1">
        <f t="shared" si="2"/>
        <v>250301304</v>
      </c>
      <c r="C33" s="7">
        <v>45717</v>
      </c>
      <c r="D33" s="4" t="s">
        <v>312</v>
      </c>
      <c r="E33" s="3">
        <v>304</v>
      </c>
      <c r="F33" s="3" t="s">
        <v>37</v>
      </c>
      <c r="G33" s="3" t="s">
        <v>316</v>
      </c>
      <c r="H33" s="3" t="s">
        <v>317</v>
      </c>
      <c r="I33" s="3" t="s">
        <v>318</v>
      </c>
      <c r="J33" s="3" t="s">
        <v>1</v>
      </c>
      <c r="K33" s="4">
        <v>43300</v>
      </c>
      <c r="L33" s="3">
        <v>79</v>
      </c>
      <c r="M33" s="3">
        <v>6</v>
      </c>
      <c r="N33" s="3">
        <v>6.62</v>
      </c>
      <c r="O33" s="3" t="s">
        <v>71</v>
      </c>
      <c r="P33" s="3" t="s">
        <v>0</v>
      </c>
      <c r="Q33" s="3" t="s">
        <v>43</v>
      </c>
    </row>
    <row r="34" spans="1:23" x14ac:dyDescent="0.3">
      <c r="A34" s="1" t="s">
        <v>35</v>
      </c>
      <c r="B34" s="1">
        <f t="shared" si="2"/>
        <v>250301404</v>
      </c>
      <c r="C34" s="7">
        <v>45717</v>
      </c>
      <c r="D34" s="4" t="s">
        <v>319</v>
      </c>
      <c r="E34" s="3">
        <v>404</v>
      </c>
      <c r="F34" s="3" t="s">
        <v>320</v>
      </c>
      <c r="G34" s="3" t="s">
        <v>321</v>
      </c>
      <c r="H34" s="3" t="s">
        <v>322</v>
      </c>
      <c r="I34" s="3" t="s">
        <v>323</v>
      </c>
      <c r="J34" s="3" t="s">
        <v>1</v>
      </c>
      <c r="K34" s="4">
        <v>43099</v>
      </c>
      <c r="L34" s="3">
        <v>86</v>
      </c>
      <c r="M34" s="3">
        <v>7</v>
      </c>
      <c r="N34" s="3">
        <v>7.17</v>
      </c>
      <c r="O34" s="3" t="s">
        <v>324</v>
      </c>
      <c r="P34" s="3" t="s">
        <v>0</v>
      </c>
      <c r="Q34" s="3" t="s">
        <v>43</v>
      </c>
    </row>
    <row r="35" spans="1:23" x14ac:dyDescent="0.3">
      <c r="A35" s="1" t="s">
        <v>35</v>
      </c>
      <c r="B35" s="1">
        <f t="shared" si="2"/>
        <v>250301604</v>
      </c>
      <c r="C35" s="7">
        <v>45717</v>
      </c>
      <c r="D35" s="2" t="s">
        <v>325</v>
      </c>
      <c r="E35">
        <v>604</v>
      </c>
      <c r="F35" t="s">
        <v>37</v>
      </c>
      <c r="G35" t="s">
        <v>326</v>
      </c>
      <c r="H35" t="s">
        <v>327</v>
      </c>
      <c r="I35" t="s">
        <v>328</v>
      </c>
      <c r="J35" t="s">
        <v>47</v>
      </c>
      <c r="K35" s="2">
        <v>43122</v>
      </c>
      <c r="L35">
        <v>85</v>
      </c>
      <c r="M35">
        <v>7</v>
      </c>
      <c r="N35">
        <v>7.11</v>
      </c>
      <c r="O35" t="s">
        <v>71</v>
      </c>
      <c r="P35" t="s">
        <v>0</v>
      </c>
      <c r="Q35" t="s">
        <v>43</v>
      </c>
    </row>
    <row r="36" spans="1:23" x14ac:dyDescent="0.3">
      <c r="A36" s="1" t="s">
        <v>35</v>
      </c>
      <c r="B36" s="1">
        <f>250706000+E36</f>
        <v>250706101</v>
      </c>
      <c r="C36" s="7">
        <v>45844</v>
      </c>
      <c r="D36" s="2" t="s">
        <v>329</v>
      </c>
      <c r="E36">
        <v>101</v>
      </c>
      <c r="F36" t="s">
        <v>37</v>
      </c>
      <c r="G36" t="s">
        <v>330</v>
      </c>
      <c r="H36" t="s">
        <v>331</v>
      </c>
      <c r="I36" t="s">
        <v>332</v>
      </c>
      <c r="J36" t="s">
        <v>1</v>
      </c>
      <c r="K36" s="2">
        <v>43974</v>
      </c>
      <c r="L36">
        <v>61</v>
      </c>
      <c r="M36">
        <v>5</v>
      </c>
      <c r="N36">
        <v>5.12</v>
      </c>
      <c r="O36" t="s">
        <v>333</v>
      </c>
      <c r="P36" t="s">
        <v>334</v>
      </c>
      <c r="Q36" t="s">
        <v>335</v>
      </c>
    </row>
    <row r="37" spans="1:23" x14ac:dyDescent="0.3">
      <c r="A37" s="1" t="s">
        <v>35</v>
      </c>
      <c r="B37" s="1">
        <f t="shared" ref="B37:B39" si="3">250706000+E37</f>
        <v>250706305</v>
      </c>
      <c r="C37" s="7">
        <v>45844</v>
      </c>
      <c r="D37" s="2" t="s">
        <v>312</v>
      </c>
      <c r="E37">
        <v>305</v>
      </c>
      <c r="F37" t="s">
        <v>336</v>
      </c>
      <c r="G37" t="s">
        <v>337</v>
      </c>
      <c r="H37" t="s">
        <v>338</v>
      </c>
      <c r="I37" t="s">
        <v>339</v>
      </c>
      <c r="J37" t="s">
        <v>1</v>
      </c>
      <c r="K37" s="2">
        <v>43841</v>
      </c>
      <c r="L37">
        <v>65</v>
      </c>
      <c r="M37">
        <v>5</v>
      </c>
      <c r="N37">
        <v>5.49</v>
      </c>
      <c r="O37" t="s">
        <v>48</v>
      </c>
      <c r="P37" t="s">
        <v>340</v>
      </c>
      <c r="Q37" t="s">
        <v>335</v>
      </c>
    </row>
    <row r="38" spans="1:23" x14ac:dyDescent="0.3">
      <c r="A38" s="1" t="s">
        <v>35</v>
      </c>
      <c r="B38" s="1">
        <f t="shared" si="3"/>
        <v>250706403</v>
      </c>
      <c r="C38" s="7">
        <v>45844</v>
      </c>
      <c r="D38" s="2" t="s">
        <v>319</v>
      </c>
      <c r="E38">
        <v>403</v>
      </c>
      <c r="F38" t="s">
        <v>37</v>
      </c>
      <c r="G38" t="s">
        <v>341</v>
      </c>
      <c r="H38" t="s">
        <v>342</v>
      </c>
      <c r="I38" t="s">
        <v>343</v>
      </c>
      <c r="J38" t="s">
        <v>1</v>
      </c>
      <c r="K38" s="2">
        <v>43852</v>
      </c>
      <c r="L38">
        <v>65</v>
      </c>
      <c r="M38">
        <v>5</v>
      </c>
      <c r="N38">
        <v>5.46</v>
      </c>
      <c r="O38" t="s">
        <v>344</v>
      </c>
      <c r="P38" t="s">
        <v>345</v>
      </c>
      <c r="Q38" t="s">
        <v>335</v>
      </c>
    </row>
    <row r="39" spans="1:23" x14ac:dyDescent="0.3">
      <c r="A39" s="1" t="s">
        <v>35</v>
      </c>
      <c r="B39" s="1">
        <f t="shared" si="3"/>
        <v>250706404</v>
      </c>
      <c r="C39" s="7">
        <v>45844</v>
      </c>
      <c r="D39" s="2" t="s">
        <v>319</v>
      </c>
      <c r="E39">
        <v>404</v>
      </c>
      <c r="F39" t="s">
        <v>37</v>
      </c>
      <c r="G39" t="s">
        <v>346</v>
      </c>
      <c r="H39" t="s">
        <v>347</v>
      </c>
      <c r="I39" t="s">
        <v>348</v>
      </c>
      <c r="J39" t="s">
        <v>47</v>
      </c>
      <c r="K39" s="2">
        <v>43176</v>
      </c>
      <c r="L39">
        <v>87</v>
      </c>
      <c r="M39">
        <v>7</v>
      </c>
      <c r="N39">
        <v>7.3</v>
      </c>
      <c r="O39" t="s">
        <v>349</v>
      </c>
      <c r="P39" t="s">
        <v>350</v>
      </c>
      <c r="Q39" t="s">
        <v>335</v>
      </c>
    </row>
    <row r="40" spans="1:23" x14ac:dyDescent="0.3">
      <c r="A40" s="1" t="s">
        <v>35</v>
      </c>
      <c r="B40" s="1">
        <f>250713000+E40</f>
        <v>250713201</v>
      </c>
      <c r="C40" s="7">
        <v>45851</v>
      </c>
      <c r="D40" s="2" t="s">
        <v>36</v>
      </c>
      <c r="E40">
        <v>201</v>
      </c>
      <c r="F40" t="s">
        <v>37</v>
      </c>
      <c r="G40" t="s">
        <v>351</v>
      </c>
      <c r="H40" t="s">
        <v>352</v>
      </c>
      <c r="I40" t="s">
        <v>353</v>
      </c>
      <c r="J40" t="s">
        <v>1</v>
      </c>
      <c r="K40" s="2">
        <v>43504</v>
      </c>
      <c r="L40">
        <v>77</v>
      </c>
      <c r="M40">
        <v>6</v>
      </c>
      <c r="N40">
        <v>6.43</v>
      </c>
      <c r="O40" t="s">
        <v>333</v>
      </c>
      <c r="P40" t="s">
        <v>334</v>
      </c>
    </row>
    <row r="41" spans="1:23" x14ac:dyDescent="0.3">
      <c r="A41" s="1" t="s">
        <v>35</v>
      </c>
      <c r="B41" s="1">
        <f t="shared" ref="B41:B46" si="4">250713000+E41</f>
        <v>250713203</v>
      </c>
      <c r="C41" s="7">
        <v>45851</v>
      </c>
      <c r="D41" s="2" t="s">
        <v>36</v>
      </c>
      <c r="E41">
        <v>203</v>
      </c>
      <c r="F41" t="s">
        <v>37</v>
      </c>
      <c r="G41" t="s">
        <v>354</v>
      </c>
      <c r="H41" t="s">
        <v>355</v>
      </c>
      <c r="I41" t="s">
        <v>356</v>
      </c>
      <c r="J41" t="s">
        <v>1</v>
      </c>
      <c r="K41" s="2">
        <v>43832</v>
      </c>
      <c r="L41">
        <v>66</v>
      </c>
      <c r="M41">
        <v>5</v>
      </c>
      <c r="N41">
        <v>5.53</v>
      </c>
      <c r="O41" t="s">
        <v>344</v>
      </c>
      <c r="P41" t="s">
        <v>345</v>
      </c>
      <c r="W41" t="s">
        <v>357</v>
      </c>
    </row>
    <row r="42" spans="1:23" x14ac:dyDescent="0.3">
      <c r="A42" s="1" t="s">
        <v>35</v>
      </c>
      <c r="B42" s="1">
        <f t="shared" si="4"/>
        <v>250713204</v>
      </c>
      <c r="C42" s="7">
        <v>45851</v>
      </c>
      <c r="D42" s="2" t="s">
        <v>36</v>
      </c>
      <c r="E42">
        <v>204</v>
      </c>
      <c r="F42" t="s">
        <v>37</v>
      </c>
      <c r="G42" t="s">
        <v>358</v>
      </c>
      <c r="H42" t="s">
        <v>355</v>
      </c>
      <c r="I42" t="s">
        <v>356</v>
      </c>
      <c r="J42" t="s">
        <v>1</v>
      </c>
      <c r="K42" s="2">
        <v>43832</v>
      </c>
      <c r="L42">
        <v>66</v>
      </c>
      <c r="M42">
        <v>5</v>
      </c>
      <c r="N42">
        <v>5.53</v>
      </c>
      <c r="O42" t="s">
        <v>349</v>
      </c>
      <c r="P42" t="s">
        <v>350</v>
      </c>
      <c r="W42" t="s">
        <v>357</v>
      </c>
    </row>
    <row r="43" spans="1:23" x14ac:dyDescent="0.3">
      <c r="A43" s="1" t="s">
        <v>35</v>
      </c>
      <c r="B43" s="1">
        <f t="shared" si="4"/>
        <v>250713301</v>
      </c>
      <c r="C43" s="7">
        <v>45851</v>
      </c>
      <c r="D43" s="2" t="s">
        <v>56</v>
      </c>
      <c r="E43">
        <v>301</v>
      </c>
      <c r="F43" t="s">
        <v>359</v>
      </c>
      <c r="G43" t="s">
        <v>360</v>
      </c>
      <c r="H43" t="s">
        <v>361</v>
      </c>
      <c r="I43" t="s">
        <v>362</v>
      </c>
      <c r="J43" t="s">
        <v>47</v>
      </c>
      <c r="K43" s="2">
        <v>43504</v>
      </c>
      <c r="L43">
        <v>77</v>
      </c>
      <c r="M43">
        <v>6</v>
      </c>
      <c r="N43">
        <v>6.43</v>
      </c>
      <c r="O43" t="s">
        <v>333</v>
      </c>
      <c r="P43" t="s">
        <v>334</v>
      </c>
      <c r="W43" t="s">
        <v>363</v>
      </c>
    </row>
    <row r="44" spans="1:23" x14ac:dyDescent="0.3">
      <c r="A44" s="1" t="s">
        <v>35</v>
      </c>
      <c r="B44" s="1">
        <f t="shared" si="4"/>
        <v>250713403</v>
      </c>
      <c r="C44" s="7">
        <v>45851</v>
      </c>
      <c r="D44" s="2" t="s">
        <v>73</v>
      </c>
      <c r="E44">
        <v>403</v>
      </c>
      <c r="F44" t="s">
        <v>37</v>
      </c>
      <c r="G44" t="s">
        <v>364</v>
      </c>
      <c r="H44" t="s">
        <v>365</v>
      </c>
      <c r="I44" t="s">
        <v>366</v>
      </c>
      <c r="J44" t="s">
        <v>47</v>
      </c>
      <c r="K44" s="2">
        <v>43956</v>
      </c>
      <c r="L44">
        <v>62</v>
      </c>
      <c r="M44">
        <v>5</v>
      </c>
      <c r="N44">
        <v>5.19</v>
      </c>
      <c r="O44" t="s">
        <v>344</v>
      </c>
      <c r="P44" t="s">
        <v>345</v>
      </c>
      <c r="W44" t="s">
        <v>367</v>
      </c>
    </row>
    <row r="45" spans="1:23" x14ac:dyDescent="0.3">
      <c r="A45" s="1" t="s">
        <v>35</v>
      </c>
      <c r="B45" s="1">
        <f t="shared" si="4"/>
        <v>250713503</v>
      </c>
      <c r="C45" s="7">
        <v>45851</v>
      </c>
      <c r="D45" s="2" t="s">
        <v>77</v>
      </c>
      <c r="E45">
        <v>503</v>
      </c>
      <c r="F45" t="s">
        <v>368</v>
      </c>
      <c r="G45" t="s">
        <v>369</v>
      </c>
      <c r="H45" t="s">
        <v>370</v>
      </c>
      <c r="I45" t="s">
        <v>371</v>
      </c>
      <c r="J45" t="s">
        <v>1</v>
      </c>
      <c r="K45" s="2">
        <v>44008</v>
      </c>
      <c r="L45">
        <v>60</v>
      </c>
      <c r="M45">
        <v>5</v>
      </c>
      <c r="N45">
        <v>5.05</v>
      </c>
      <c r="O45" t="s">
        <v>344</v>
      </c>
      <c r="P45" t="s">
        <v>345</v>
      </c>
    </row>
    <row r="46" spans="1:23" x14ac:dyDescent="0.3">
      <c r="A46" s="1" t="s">
        <v>35</v>
      </c>
      <c r="B46" s="1">
        <f t="shared" si="4"/>
        <v>250713601</v>
      </c>
      <c r="C46" s="7">
        <v>45851</v>
      </c>
      <c r="D46" s="2" t="s">
        <v>85</v>
      </c>
      <c r="E46">
        <v>601</v>
      </c>
      <c r="F46" t="s">
        <v>37</v>
      </c>
      <c r="G46" t="s">
        <v>372</v>
      </c>
      <c r="H46" t="s">
        <v>373</v>
      </c>
      <c r="I46" t="s">
        <v>374</v>
      </c>
      <c r="J46" t="s">
        <v>1</v>
      </c>
      <c r="K46" s="2">
        <v>43980</v>
      </c>
      <c r="L46">
        <v>61</v>
      </c>
      <c r="M46">
        <v>5</v>
      </c>
      <c r="N46">
        <v>5.12</v>
      </c>
      <c r="O46" t="s">
        <v>333</v>
      </c>
      <c r="P46" t="s">
        <v>334</v>
      </c>
      <c r="S46" s="6"/>
    </row>
    <row r="47" spans="1:23" x14ac:dyDescent="0.3">
      <c r="A47" s="1" t="s">
        <v>35</v>
      </c>
      <c r="B47" s="1">
        <f>250719000+E47</f>
        <v>250719101</v>
      </c>
      <c r="C47" s="7">
        <v>45857</v>
      </c>
      <c r="D47" s="7" t="s">
        <v>329</v>
      </c>
      <c r="E47" s="9">
        <v>101</v>
      </c>
      <c r="F47" t="s">
        <v>37</v>
      </c>
      <c r="G47" t="s">
        <v>391</v>
      </c>
      <c r="H47" t="s">
        <v>392</v>
      </c>
      <c r="I47" t="s">
        <v>393</v>
      </c>
      <c r="J47" t="s">
        <v>47</v>
      </c>
      <c r="K47" s="2">
        <v>43633</v>
      </c>
      <c r="L47">
        <v>73</v>
      </c>
      <c r="M47">
        <v>6</v>
      </c>
      <c r="N47">
        <v>6.09</v>
      </c>
      <c r="O47" t="s">
        <v>333</v>
      </c>
      <c r="P47" t="s">
        <v>334</v>
      </c>
      <c r="R47" t="s">
        <v>416</v>
      </c>
      <c r="S47" s="6" t="s">
        <v>388</v>
      </c>
      <c r="W47" t="s">
        <v>394</v>
      </c>
    </row>
    <row r="48" spans="1:23" x14ac:dyDescent="0.3">
      <c r="A48" s="1" t="s">
        <v>35</v>
      </c>
      <c r="B48" s="1">
        <f>250719000+E48</f>
        <v>250719201</v>
      </c>
      <c r="C48" s="7">
        <v>45857</v>
      </c>
      <c r="D48" s="7" t="s">
        <v>307</v>
      </c>
      <c r="E48" s="9">
        <v>201</v>
      </c>
      <c r="F48" t="s">
        <v>37</v>
      </c>
      <c r="G48" t="s">
        <v>395</v>
      </c>
      <c r="H48" t="s">
        <v>396</v>
      </c>
      <c r="I48" t="s">
        <v>397</v>
      </c>
      <c r="J48" t="s">
        <v>47</v>
      </c>
      <c r="K48" s="2">
        <v>43925</v>
      </c>
      <c r="L48">
        <v>63</v>
      </c>
      <c r="M48">
        <v>5</v>
      </c>
      <c r="N48">
        <v>5.29</v>
      </c>
      <c r="O48" t="s">
        <v>333</v>
      </c>
      <c r="P48" t="s">
        <v>334</v>
      </c>
      <c r="R48" t="s">
        <v>416</v>
      </c>
      <c r="S48" s="6" t="s">
        <v>388</v>
      </c>
      <c r="W48" t="s">
        <v>398</v>
      </c>
    </row>
    <row r="49" spans="1:24" x14ac:dyDescent="0.3">
      <c r="A49" s="1" t="s">
        <v>35</v>
      </c>
      <c r="B49" s="1">
        <f t="shared" ref="B49:B53" si="5">250719000+E49</f>
        <v>250719204</v>
      </c>
      <c r="C49" s="7">
        <v>45857</v>
      </c>
      <c r="D49" s="7" t="s">
        <v>307</v>
      </c>
      <c r="E49" s="10">
        <v>204</v>
      </c>
      <c r="F49" s="9" t="s">
        <v>37</v>
      </c>
      <c r="G49" t="s">
        <v>399</v>
      </c>
      <c r="H49" t="s">
        <v>400</v>
      </c>
      <c r="I49" t="s">
        <v>401</v>
      </c>
      <c r="J49" t="s">
        <v>1</v>
      </c>
      <c r="K49" s="2">
        <v>43804</v>
      </c>
      <c r="L49">
        <v>67</v>
      </c>
      <c r="M49">
        <v>5</v>
      </c>
      <c r="N49">
        <v>5.62</v>
      </c>
      <c r="O49" t="s">
        <v>349</v>
      </c>
      <c r="P49" t="s">
        <v>350</v>
      </c>
      <c r="R49" t="s">
        <v>416</v>
      </c>
      <c r="S49" s="6" t="s">
        <v>388</v>
      </c>
      <c r="W49" t="s">
        <v>402</v>
      </c>
    </row>
    <row r="50" spans="1:24" x14ac:dyDescent="0.3">
      <c r="A50" s="1" t="s">
        <v>35</v>
      </c>
      <c r="B50" s="1">
        <f t="shared" si="5"/>
        <v>250719304</v>
      </c>
      <c r="C50" s="7">
        <v>45857</v>
      </c>
      <c r="D50" s="7" t="s">
        <v>312</v>
      </c>
      <c r="E50" s="10">
        <v>304</v>
      </c>
      <c r="F50" s="9" t="s">
        <v>37</v>
      </c>
      <c r="G50" t="s">
        <v>403</v>
      </c>
      <c r="H50" t="s">
        <v>404</v>
      </c>
      <c r="I50" t="s">
        <v>405</v>
      </c>
      <c r="J50" t="s">
        <v>1</v>
      </c>
      <c r="K50" s="2">
        <v>43837</v>
      </c>
      <c r="L50">
        <v>66</v>
      </c>
      <c r="M50">
        <v>5</v>
      </c>
      <c r="N50">
        <v>5.53</v>
      </c>
      <c r="O50" t="s">
        <v>349</v>
      </c>
      <c r="P50" t="s">
        <v>350</v>
      </c>
      <c r="R50" t="s">
        <v>416</v>
      </c>
      <c r="S50" s="6" t="s">
        <v>388</v>
      </c>
    </row>
    <row r="51" spans="1:24" x14ac:dyDescent="0.3">
      <c r="A51" s="1" t="s">
        <v>35</v>
      </c>
      <c r="B51" s="1">
        <f t="shared" si="5"/>
        <v>250719403</v>
      </c>
      <c r="C51" s="7">
        <v>45857</v>
      </c>
      <c r="D51" s="7" t="s">
        <v>319</v>
      </c>
      <c r="E51" s="10">
        <v>403</v>
      </c>
      <c r="F51" s="9" t="s">
        <v>37</v>
      </c>
      <c r="G51" t="s">
        <v>399</v>
      </c>
      <c r="H51" t="s">
        <v>406</v>
      </c>
      <c r="I51" t="s">
        <v>407</v>
      </c>
      <c r="J51" t="s">
        <v>1</v>
      </c>
      <c r="K51" s="2">
        <v>43942</v>
      </c>
      <c r="L51">
        <v>62</v>
      </c>
      <c r="M51">
        <v>5</v>
      </c>
      <c r="N51">
        <v>5.24</v>
      </c>
      <c r="O51" t="s">
        <v>344</v>
      </c>
      <c r="P51" t="s">
        <v>345</v>
      </c>
      <c r="R51" t="s">
        <v>416</v>
      </c>
      <c r="S51" s="6" t="s">
        <v>388</v>
      </c>
      <c r="W51" t="s">
        <v>408</v>
      </c>
    </row>
    <row r="52" spans="1:24" x14ac:dyDescent="0.3">
      <c r="A52" s="1" t="s">
        <v>35</v>
      </c>
      <c r="B52" s="1">
        <f t="shared" si="5"/>
        <v>250719501</v>
      </c>
      <c r="C52" s="7">
        <v>45857</v>
      </c>
      <c r="D52" s="7" t="s">
        <v>409</v>
      </c>
      <c r="E52" s="10">
        <v>501</v>
      </c>
      <c r="F52" s="9" t="s">
        <v>37</v>
      </c>
      <c r="G52" t="s">
        <v>410</v>
      </c>
      <c r="H52" t="s">
        <v>411</v>
      </c>
      <c r="I52" t="s">
        <v>412</v>
      </c>
      <c r="J52" t="s">
        <v>47</v>
      </c>
      <c r="K52" s="2">
        <v>43102</v>
      </c>
      <c r="L52">
        <v>90</v>
      </c>
      <c r="M52">
        <v>7</v>
      </c>
      <c r="N52">
        <v>7.55</v>
      </c>
      <c r="O52" t="s">
        <v>333</v>
      </c>
      <c r="P52" t="s">
        <v>334</v>
      </c>
      <c r="R52" t="s">
        <v>416</v>
      </c>
      <c r="S52" s="6" t="s">
        <v>388</v>
      </c>
    </row>
    <row r="53" spans="1:24" x14ac:dyDescent="0.3">
      <c r="A53" s="1" t="s">
        <v>35</v>
      </c>
      <c r="B53" s="1">
        <f t="shared" si="5"/>
        <v>250719603</v>
      </c>
      <c r="C53" s="7">
        <v>45857</v>
      </c>
      <c r="D53" s="7" t="s">
        <v>325</v>
      </c>
      <c r="E53" s="10">
        <v>603</v>
      </c>
      <c r="F53" s="9" t="s">
        <v>37</v>
      </c>
      <c r="G53" t="s">
        <v>413</v>
      </c>
      <c r="H53" t="s">
        <v>414</v>
      </c>
      <c r="I53" t="s">
        <v>415</v>
      </c>
      <c r="J53" t="s">
        <v>47</v>
      </c>
      <c r="K53" s="2">
        <v>43675</v>
      </c>
      <c r="L53">
        <v>71</v>
      </c>
      <c r="M53">
        <v>5</v>
      </c>
      <c r="N53">
        <v>5.97</v>
      </c>
      <c r="O53" t="s">
        <v>344</v>
      </c>
      <c r="P53" t="s">
        <v>345</v>
      </c>
      <c r="R53" t="s">
        <v>416</v>
      </c>
      <c r="S53" s="6" t="s">
        <v>388</v>
      </c>
    </row>
    <row r="54" spans="1:24" x14ac:dyDescent="0.3">
      <c r="A54" t="s">
        <v>35</v>
      </c>
      <c r="B54" s="1">
        <f>250720000+E54</f>
        <v>250720103</v>
      </c>
      <c r="C54" s="7">
        <v>45858</v>
      </c>
      <c r="D54" s="2" t="s">
        <v>329</v>
      </c>
      <c r="E54" s="9">
        <v>103</v>
      </c>
      <c r="F54" t="s">
        <v>37</v>
      </c>
      <c r="G54" t="s">
        <v>375</v>
      </c>
      <c r="H54" t="s">
        <v>376</v>
      </c>
      <c r="I54" t="s">
        <v>377</v>
      </c>
      <c r="J54" t="s">
        <v>47</v>
      </c>
      <c r="K54" s="2">
        <v>43466</v>
      </c>
      <c r="L54">
        <v>78</v>
      </c>
      <c r="M54">
        <v>6</v>
      </c>
      <c r="N54">
        <v>6.55</v>
      </c>
      <c r="O54" t="s">
        <v>344</v>
      </c>
      <c r="P54" t="s">
        <v>378</v>
      </c>
      <c r="S54" s="6"/>
    </row>
    <row r="55" spans="1:24" x14ac:dyDescent="0.3">
      <c r="A55" t="s">
        <v>35</v>
      </c>
      <c r="B55" s="1">
        <f t="shared" ref="B55:B56" si="6">250720000+E55</f>
        <v>250720303</v>
      </c>
      <c r="C55" s="7">
        <v>45858</v>
      </c>
      <c r="D55" s="2" t="s">
        <v>312</v>
      </c>
      <c r="E55">
        <v>303</v>
      </c>
      <c r="F55" t="s">
        <v>37</v>
      </c>
      <c r="G55" t="s">
        <v>379</v>
      </c>
      <c r="H55" t="s">
        <v>380</v>
      </c>
      <c r="I55" t="s">
        <v>381</v>
      </c>
      <c r="J55" t="s">
        <v>1</v>
      </c>
      <c r="K55" s="2">
        <v>43233</v>
      </c>
      <c r="L55">
        <v>86</v>
      </c>
      <c r="M55">
        <v>7</v>
      </c>
      <c r="N55">
        <v>7.19</v>
      </c>
      <c r="O55" t="s">
        <v>344</v>
      </c>
      <c r="P55" t="s">
        <v>378</v>
      </c>
      <c r="S55" s="6"/>
      <c r="W55" t="s">
        <v>382</v>
      </c>
    </row>
    <row r="56" spans="1:24" x14ac:dyDescent="0.3">
      <c r="A56" t="s">
        <v>35</v>
      </c>
      <c r="B56" s="1">
        <f t="shared" si="6"/>
        <v>250720304</v>
      </c>
      <c r="C56" s="7">
        <v>45858</v>
      </c>
      <c r="D56" s="2" t="s">
        <v>312</v>
      </c>
      <c r="E56">
        <v>304</v>
      </c>
      <c r="F56" t="s">
        <v>37</v>
      </c>
      <c r="G56" t="s">
        <v>383</v>
      </c>
      <c r="H56" t="s">
        <v>380</v>
      </c>
      <c r="I56" t="s">
        <v>381</v>
      </c>
      <c r="J56" t="s">
        <v>47</v>
      </c>
      <c r="K56" s="2">
        <v>43233</v>
      </c>
      <c r="L56">
        <v>86</v>
      </c>
      <c r="M56">
        <v>7</v>
      </c>
      <c r="N56">
        <v>7.19</v>
      </c>
      <c r="O56" t="s">
        <v>349</v>
      </c>
      <c r="P56" t="s">
        <v>384</v>
      </c>
      <c r="S56" s="6"/>
      <c r="W56" t="s">
        <v>382</v>
      </c>
    </row>
    <row r="57" spans="1:24" x14ac:dyDescent="0.3">
      <c r="A57" t="s">
        <v>35</v>
      </c>
      <c r="B57" s="1">
        <f>250815000+E57</f>
        <v>250815101</v>
      </c>
      <c r="C57" s="7">
        <v>45884</v>
      </c>
      <c r="D57" s="2" t="s">
        <v>329</v>
      </c>
      <c r="E57">
        <v>101</v>
      </c>
      <c r="F57" t="s">
        <v>37</v>
      </c>
      <c r="G57" t="s">
        <v>417</v>
      </c>
      <c r="H57" t="s">
        <v>418</v>
      </c>
      <c r="I57" t="s">
        <v>419</v>
      </c>
      <c r="J57" t="s">
        <v>47</v>
      </c>
      <c r="K57" s="2">
        <v>43799</v>
      </c>
      <c r="L57">
        <v>68</v>
      </c>
      <c r="M57">
        <v>5</v>
      </c>
      <c r="N57">
        <v>5.71</v>
      </c>
      <c r="O57" t="s">
        <v>333</v>
      </c>
      <c r="P57" t="s">
        <v>420</v>
      </c>
      <c r="Q57" t="s">
        <v>335</v>
      </c>
      <c r="R57" t="s">
        <v>421</v>
      </c>
      <c r="S57" s="6"/>
      <c r="W57" t="s">
        <v>422</v>
      </c>
    </row>
    <row r="58" spans="1:24" x14ac:dyDescent="0.3">
      <c r="A58" t="s">
        <v>35</v>
      </c>
      <c r="B58" s="1">
        <f t="shared" ref="B58:B63" si="7">250815000+E58</f>
        <v>250815201</v>
      </c>
      <c r="C58" s="7">
        <v>45884</v>
      </c>
      <c r="D58" s="2" t="s">
        <v>307</v>
      </c>
      <c r="E58">
        <v>201</v>
      </c>
      <c r="F58" t="s">
        <v>37</v>
      </c>
      <c r="G58" t="s">
        <v>423</v>
      </c>
      <c r="H58" t="s">
        <v>424</v>
      </c>
      <c r="I58" t="s">
        <v>425</v>
      </c>
      <c r="J58" t="s">
        <v>1</v>
      </c>
      <c r="K58" s="2">
        <v>43934</v>
      </c>
      <c r="L58">
        <v>64</v>
      </c>
      <c r="M58">
        <v>5</v>
      </c>
      <c r="N58">
        <v>5.34</v>
      </c>
      <c r="O58" t="s">
        <v>426</v>
      </c>
      <c r="P58" t="s">
        <v>420</v>
      </c>
      <c r="Q58" t="s">
        <v>335</v>
      </c>
      <c r="R58" t="s">
        <v>421</v>
      </c>
      <c r="S58" s="6"/>
      <c r="W58" t="s">
        <v>427</v>
      </c>
      <c r="X58" t="s">
        <v>428</v>
      </c>
    </row>
    <row r="59" spans="1:24" x14ac:dyDescent="0.3">
      <c r="A59" t="s">
        <v>35</v>
      </c>
      <c r="B59" s="1">
        <f t="shared" si="7"/>
        <v>250815203</v>
      </c>
      <c r="C59" s="7">
        <v>45884</v>
      </c>
      <c r="D59" s="2" t="s">
        <v>307</v>
      </c>
      <c r="E59">
        <v>203</v>
      </c>
      <c r="F59" t="s">
        <v>37</v>
      </c>
      <c r="G59" t="s">
        <v>429</v>
      </c>
      <c r="H59" t="s">
        <v>430</v>
      </c>
      <c r="I59" t="s">
        <v>431</v>
      </c>
      <c r="J59" t="s">
        <v>1</v>
      </c>
      <c r="K59" s="2">
        <v>43771</v>
      </c>
      <c r="L59">
        <v>69</v>
      </c>
      <c r="M59">
        <v>5</v>
      </c>
      <c r="N59">
        <v>5.79</v>
      </c>
      <c r="O59" t="s">
        <v>344</v>
      </c>
      <c r="P59" t="s">
        <v>345</v>
      </c>
      <c r="Q59" t="s">
        <v>335</v>
      </c>
      <c r="R59" t="s">
        <v>432</v>
      </c>
      <c r="W59" t="s">
        <v>433</v>
      </c>
      <c r="X59" t="s">
        <v>434</v>
      </c>
    </row>
    <row r="60" spans="1:24" x14ac:dyDescent="0.3">
      <c r="A60" t="s">
        <v>35</v>
      </c>
      <c r="B60" s="1">
        <f t="shared" si="7"/>
        <v>250815204</v>
      </c>
      <c r="C60" s="7">
        <v>45884</v>
      </c>
      <c r="D60" s="2" t="s">
        <v>307</v>
      </c>
      <c r="E60">
        <v>204</v>
      </c>
      <c r="F60" t="s">
        <v>37</v>
      </c>
      <c r="G60" t="s">
        <v>435</v>
      </c>
      <c r="H60" t="s">
        <v>430</v>
      </c>
      <c r="I60" t="s">
        <v>431</v>
      </c>
      <c r="J60" t="s">
        <v>47</v>
      </c>
      <c r="K60" s="2">
        <v>43771</v>
      </c>
      <c r="L60">
        <v>69</v>
      </c>
      <c r="M60">
        <v>5</v>
      </c>
      <c r="N60">
        <v>5.79</v>
      </c>
      <c r="O60" t="s">
        <v>349</v>
      </c>
      <c r="P60" t="s">
        <v>384</v>
      </c>
      <c r="Q60" t="s">
        <v>335</v>
      </c>
      <c r="R60" t="s">
        <v>421</v>
      </c>
      <c r="W60" t="s">
        <v>446</v>
      </c>
    </row>
    <row r="61" spans="1:24" x14ac:dyDescent="0.3">
      <c r="A61" t="s">
        <v>35</v>
      </c>
      <c r="B61" s="1">
        <f t="shared" si="7"/>
        <v>250815205</v>
      </c>
      <c r="C61" s="7">
        <v>45884</v>
      </c>
      <c r="D61" s="2" t="s">
        <v>307</v>
      </c>
      <c r="E61">
        <v>205</v>
      </c>
      <c r="F61" t="s">
        <v>37</v>
      </c>
      <c r="G61" t="s">
        <v>436</v>
      </c>
      <c r="H61" t="s">
        <v>437</v>
      </c>
      <c r="I61" t="s">
        <v>438</v>
      </c>
      <c r="J61" t="s">
        <v>47</v>
      </c>
      <c r="K61" s="2">
        <v>43484</v>
      </c>
      <c r="L61">
        <v>78</v>
      </c>
      <c r="M61">
        <v>6</v>
      </c>
      <c r="N61">
        <v>6.57</v>
      </c>
      <c r="O61" t="s">
        <v>333</v>
      </c>
      <c r="P61" t="s">
        <v>340</v>
      </c>
      <c r="Q61" t="s">
        <v>335</v>
      </c>
      <c r="R61" t="s">
        <v>421</v>
      </c>
      <c r="W61" t="s">
        <v>439</v>
      </c>
    </row>
    <row r="62" spans="1:24" x14ac:dyDescent="0.3">
      <c r="A62" t="s">
        <v>35</v>
      </c>
      <c r="B62" s="1">
        <f t="shared" si="7"/>
        <v>250815303</v>
      </c>
      <c r="C62" s="7">
        <v>45884</v>
      </c>
      <c r="D62" s="2" t="s">
        <v>312</v>
      </c>
      <c r="E62">
        <v>303</v>
      </c>
      <c r="F62" t="s">
        <v>37</v>
      </c>
      <c r="G62" t="s">
        <v>440</v>
      </c>
      <c r="H62" t="s">
        <v>441</v>
      </c>
      <c r="I62" t="s">
        <v>442</v>
      </c>
      <c r="J62" t="s">
        <v>1</v>
      </c>
      <c r="K62" s="2">
        <v>43554</v>
      </c>
      <c r="L62">
        <v>76</v>
      </c>
      <c r="M62">
        <v>6</v>
      </c>
      <c r="N62">
        <v>6.38</v>
      </c>
      <c r="O62" t="s">
        <v>344</v>
      </c>
      <c r="P62" t="s">
        <v>345</v>
      </c>
      <c r="Q62" t="s">
        <v>335</v>
      </c>
      <c r="R62" t="s">
        <v>421</v>
      </c>
    </row>
    <row r="63" spans="1:24" x14ac:dyDescent="0.3">
      <c r="A63" t="s">
        <v>35</v>
      </c>
      <c r="B63" s="1">
        <f t="shared" si="7"/>
        <v>250815501</v>
      </c>
      <c r="C63" s="7">
        <v>45884</v>
      </c>
      <c r="D63" s="2" t="s">
        <v>409</v>
      </c>
      <c r="E63">
        <v>501</v>
      </c>
      <c r="F63" t="s">
        <v>37</v>
      </c>
      <c r="G63" t="s">
        <v>443</v>
      </c>
      <c r="H63" t="s">
        <v>444</v>
      </c>
      <c r="I63" t="s">
        <v>445</v>
      </c>
      <c r="J63" t="s">
        <v>1</v>
      </c>
      <c r="K63" s="2">
        <v>43558</v>
      </c>
      <c r="L63">
        <v>76</v>
      </c>
      <c r="M63">
        <v>6</v>
      </c>
      <c r="N63">
        <v>6.37</v>
      </c>
      <c r="O63" t="s">
        <v>426</v>
      </c>
      <c r="P63" t="s">
        <v>420</v>
      </c>
      <c r="Q63" t="s">
        <v>335</v>
      </c>
      <c r="R63" t="s">
        <v>421</v>
      </c>
    </row>
    <row r="64" spans="1:24" x14ac:dyDescent="0.3">
      <c r="A64" t="s">
        <v>35</v>
      </c>
      <c r="B64" s="1">
        <f>250816000+E64</f>
        <v>250816101</v>
      </c>
      <c r="C64" s="7">
        <v>45885</v>
      </c>
      <c r="D64" s="2" t="s">
        <v>329</v>
      </c>
      <c r="E64">
        <v>101</v>
      </c>
      <c r="F64" t="s">
        <v>37</v>
      </c>
      <c r="G64" t="s">
        <v>447</v>
      </c>
      <c r="H64" t="s">
        <v>448</v>
      </c>
      <c r="I64" t="s">
        <v>449</v>
      </c>
      <c r="J64" t="s">
        <v>47</v>
      </c>
      <c r="K64" s="2">
        <v>43311</v>
      </c>
      <c r="L64">
        <v>84</v>
      </c>
      <c r="M64">
        <v>7</v>
      </c>
      <c r="N64">
        <v>7.04</v>
      </c>
      <c r="O64" t="s">
        <v>426</v>
      </c>
      <c r="P64" t="s">
        <v>450</v>
      </c>
      <c r="Q64" t="s">
        <v>335</v>
      </c>
      <c r="W64" t="s">
        <v>451</v>
      </c>
      <c r="X64" t="s">
        <v>452</v>
      </c>
    </row>
    <row r="65" spans="1:24" x14ac:dyDescent="0.3">
      <c r="A65" t="s">
        <v>35</v>
      </c>
      <c r="B65" s="1">
        <f t="shared" ref="B65:B72" si="8">250816000+E65</f>
        <v>250816201</v>
      </c>
      <c r="C65" s="7">
        <v>45885</v>
      </c>
      <c r="D65" s="2" t="s">
        <v>307</v>
      </c>
      <c r="E65">
        <v>201</v>
      </c>
      <c r="F65" t="s">
        <v>37</v>
      </c>
      <c r="G65" t="s">
        <v>453</v>
      </c>
      <c r="H65" t="s">
        <v>454</v>
      </c>
      <c r="I65" t="s">
        <v>455</v>
      </c>
      <c r="J65" t="s">
        <v>47</v>
      </c>
      <c r="K65" s="2">
        <v>43748</v>
      </c>
      <c r="L65">
        <v>70</v>
      </c>
      <c r="M65">
        <v>5</v>
      </c>
      <c r="N65">
        <v>5.85</v>
      </c>
      <c r="O65" t="s">
        <v>426</v>
      </c>
      <c r="P65" t="s">
        <v>450</v>
      </c>
      <c r="Q65" t="s">
        <v>335</v>
      </c>
    </row>
    <row r="66" spans="1:24" x14ac:dyDescent="0.3">
      <c r="A66" t="s">
        <v>35</v>
      </c>
      <c r="B66" s="1">
        <f t="shared" si="8"/>
        <v>250816203</v>
      </c>
      <c r="C66" s="7">
        <v>45885</v>
      </c>
      <c r="D66" s="2" t="s">
        <v>307</v>
      </c>
      <c r="E66">
        <v>203</v>
      </c>
      <c r="F66" t="s">
        <v>37</v>
      </c>
      <c r="G66" t="s">
        <v>456</v>
      </c>
      <c r="H66" t="s">
        <v>457</v>
      </c>
      <c r="I66" t="s">
        <v>458</v>
      </c>
      <c r="J66" t="s">
        <v>1</v>
      </c>
      <c r="K66" s="2">
        <v>43328</v>
      </c>
      <c r="L66">
        <v>84</v>
      </c>
      <c r="M66">
        <v>7</v>
      </c>
      <c r="N66">
        <v>7</v>
      </c>
      <c r="O66" t="s">
        <v>344</v>
      </c>
      <c r="P66" t="s">
        <v>345</v>
      </c>
      <c r="Q66" t="s">
        <v>335</v>
      </c>
      <c r="W66" t="s">
        <v>459</v>
      </c>
      <c r="X66" t="s">
        <v>460</v>
      </c>
    </row>
    <row r="67" spans="1:24" x14ac:dyDescent="0.3">
      <c r="A67" t="s">
        <v>35</v>
      </c>
      <c r="B67" s="1">
        <f t="shared" si="8"/>
        <v>250816204</v>
      </c>
      <c r="C67" s="7">
        <v>45885</v>
      </c>
      <c r="D67" s="2" t="s">
        <v>307</v>
      </c>
      <c r="E67">
        <v>204</v>
      </c>
      <c r="F67" t="s">
        <v>37</v>
      </c>
      <c r="G67" t="s">
        <v>461</v>
      </c>
      <c r="H67" t="s">
        <v>462</v>
      </c>
      <c r="I67" t="s">
        <v>463</v>
      </c>
      <c r="J67" t="s">
        <v>47</v>
      </c>
      <c r="K67" s="2">
        <v>43836</v>
      </c>
      <c r="L67">
        <v>67</v>
      </c>
      <c r="M67">
        <v>5</v>
      </c>
      <c r="N67">
        <v>5.61</v>
      </c>
      <c r="O67" t="s">
        <v>349</v>
      </c>
      <c r="P67" t="s">
        <v>384</v>
      </c>
      <c r="Q67" t="s">
        <v>335</v>
      </c>
      <c r="X67" t="s">
        <v>464</v>
      </c>
    </row>
    <row r="68" spans="1:24" x14ac:dyDescent="0.3">
      <c r="A68" t="s">
        <v>35</v>
      </c>
      <c r="B68" s="1">
        <f t="shared" si="8"/>
        <v>250816304</v>
      </c>
      <c r="C68" s="7">
        <v>45885</v>
      </c>
      <c r="D68" s="2" t="s">
        <v>312</v>
      </c>
      <c r="E68">
        <v>304</v>
      </c>
      <c r="F68" t="s">
        <v>465</v>
      </c>
      <c r="G68" t="s">
        <v>466</v>
      </c>
      <c r="H68" t="s">
        <v>467</v>
      </c>
      <c r="I68" t="s">
        <v>468</v>
      </c>
      <c r="J68" t="s">
        <v>47</v>
      </c>
      <c r="K68" s="2">
        <v>42385</v>
      </c>
      <c r="L68">
        <v>115</v>
      </c>
      <c r="M68">
        <v>9</v>
      </c>
      <c r="N68">
        <v>9.58</v>
      </c>
      <c r="O68" t="s">
        <v>349</v>
      </c>
      <c r="P68" t="s">
        <v>384</v>
      </c>
      <c r="Q68" t="s">
        <v>335</v>
      </c>
    </row>
    <row r="69" spans="1:24" x14ac:dyDescent="0.3">
      <c r="A69" t="s">
        <v>35</v>
      </c>
      <c r="B69" s="1">
        <f t="shared" si="8"/>
        <v>250816305</v>
      </c>
      <c r="C69" s="7">
        <v>45885</v>
      </c>
      <c r="D69" s="2" t="s">
        <v>312</v>
      </c>
      <c r="E69">
        <v>305</v>
      </c>
      <c r="F69" t="s">
        <v>465</v>
      </c>
      <c r="G69" t="s">
        <v>469</v>
      </c>
      <c r="H69" t="s">
        <v>470</v>
      </c>
      <c r="I69" t="s">
        <v>471</v>
      </c>
      <c r="J69" t="s">
        <v>1</v>
      </c>
      <c r="K69" s="2">
        <v>43211</v>
      </c>
      <c r="L69">
        <v>87</v>
      </c>
      <c r="M69">
        <v>7</v>
      </c>
      <c r="N69">
        <v>7.32</v>
      </c>
      <c r="O69" t="s">
        <v>333</v>
      </c>
      <c r="P69" t="s">
        <v>340</v>
      </c>
      <c r="Q69" t="s">
        <v>335</v>
      </c>
      <c r="W69" t="s">
        <v>472</v>
      </c>
    </row>
    <row r="70" spans="1:24" x14ac:dyDescent="0.3">
      <c r="A70" t="s">
        <v>35</v>
      </c>
      <c r="B70" s="1">
        <f t="shared" si="8"/>
        <v>250816403</v>
      </c>
      <c r="C70" s="7">
        <v>45885</v>
      </c>
      <c r="D70" s="2" t="s">
        <v>319</v>
      </c>
      <c r="E70">
        <v>403</v>
      </c>
      <c r="F70" t="s">
        <v>37</v>
      </c>
      <c r="G70" t="s">
        <v>473</v>
      </c>
      <c r="H70" t="s">
        <v>474</v>
      </c>
      <c r="I70" t="s">
        <v>475</v>
      </c>
      <c r="J70" t="s">
        <v>1</v>
      </c>
      <c r="K70" s="2">
        <v>43206</v>
      </c>
      <c r="L70">
        <v>88</v>
      </c>
      <c r="M70">
        <v>7</v>
      </c>
      <c r="N70">
        <v>7.33</v>
      </c>
      <c r="O70" t="s">
        <v>344</v>
      </c>
      <c r="P70" t="s">
        <v>345</v>
      </c>
      <c r="Q70" t="s">
        <v>335</v>
      </c>
      <c r="W70" t="s">
        <v>476</v>
      </c>
    </row>
    <row r="71" spans="1:24" x14ac:dyDescent="0.3">
      <c r="A71" t="s">
        <v>35</v>
      </c>
      <c r="B71" s="1">
        <f t="shared" si="8"/>
        <v>250816404</v>
      </c>
      <c r="C71" s="7">
        <v>45885</v>
      </c>
      <c r="D71" s="2" t="s">
        <v>319</v>
      </c>
      <c r="E71">
        <v>404</v>
      </c>
      <c r="F71" t="s">
        <v>37</v>
      </c>
      <c r="G71" t="s">
        <v>477</v>
      </c>
      <c r="H71" t="s">
        <v>474</v>
      </c>
      <c r="I71" t="s">
        <v>475</v>
      </c>
      <c r="J71" t="s">
        <v>47</v>
      </c>
      <c r="K71" s="2">
        <v>43206</v>
      </c>
      <c r="L71">
        <v>88</v>
      </c>
      <c r="M71">
        <v>7</v>
      </c>
      <c r="N71">
        <v>7.33</v>
      </c>
      <c r="O71" t="s">
        <v>349</v>
      </c>
      <c r="P71" t="s">
        <v>384</v>
      </c>
      <c r="Q71" t="s">
        <v>335</v>
      </c>
      <c r="W71" t="s">
        <v>476</v>
      </c>
    </row>
    <row r="72" spans="1:24" x14ac:dyDescent="0.3">
      <c r="A72" t="s">
        <v>35</v>
      </c>
      <c r="B72" s="1">
        <f t="shared" si="8"/>
        <v>250816501</v>
      </c>
      <c r="C72" s="7">
        <v>45885</v>
      </c>
      <c r="D72" s="2" t="s">
        <v>409</v>
      </c>
      <c r="E72">
        <v>501</v>
      </c>
      <c r="F72" t="s">
        <v>37</v>
      </c>
      <c r="G72" t="s">
        <v>478</v>
      </c>
      <c r="H72" t="s">
        <v>479</v>
      </c>
      <c r="I72" t="s">
        <v>480</v>
      </c>
      <c r="J72" t="s">
        <v>47</v>
      </c>
      <c r="K72" s="2">
        <v>43357</v>
      </c>
      <c r="L72">
        <v>83</v>
      </c>
      <c r="M72">
        <v>6</v>
      </c>
      <c r="N72">
        <v>6.92</v>
      </c>
      <c r="O72" t="s">
        <v>426</v>
      </c>
      <c r="P72" t="s">
        <v>450</v>
      </c>
      <c r="Q72" t="s">
        <v>335</v>
      </c>
    </row>
    <row r="73" spans="1:24" x14ac:dyDescent="0.3">
      <c r="A73" t="s">
        <v>35</v>
      </c>
      <c r="B73" s="1">
        <f>250823000+E73</f>
        <v>250823103</v>
      </c>
      <c r="C73" s="7">
        <v>45892</v>
      </c>
      <c r="D73" s="2" t="s">
        <v>329</v>
      </c>
      <c r="E73">
        <v>103</v>
      </c>
      <c r="F73" t="s">
        <v>37</v>
      </c>
      <c r="G73" t="s">
        <v>481</v>
      </c>
      <c r="H73" t="s">
        <v>506</v>
      </c>
      <c r="I73" t="s">
        <v>482</v>
      </c>
      <c r="J73" t="s">
        <v>1</v>
      </c>
      <c r="K73" s="2">
        <v>43305</v>
      </c>
      <c r="L73">
        <v>84</v>
      </c>
      <c r="M73">
        <v>7</v>
      </c>
      <c r="N73">
        <v>7.08</v>
      </c>
      <c r="O73" t="s">
        <v>344</v>
      </c>
      <c r="P73" t="s">
        <v>345</v>
      </c>
    </row>
    <row r="74" spans="1:24" x14ac:dyDescent="0.3">
      <c r="A74" t="s">
        <v>35</v>
      </c>
      <c r="B74" s="1">
        <f t="shared" ref="B74:B76" si="9">250823000+E74</f>
        <v>250823203</v>
      </c>
      <c r="C74" s="7">
        <v>45892</v>
      </c>
      <c r="D74" s="7" t="s">
        <v>307</v>
      </c>
      <c r="E74" s="9">
        <v>203</v>
      </c>
      <c r="F74" t="s">
        <v>37</v>
      </c>
      <c r="G74" t="s">
        <v>488</v>
      </c>
      <c r="H74" t="s">
        <v>507</v>
      </c>
      <c r="I74" t="s">
        <v>489</v>
      </c>
      <c r="J74" t="s">
        <v>47</v>
      </c>
      <c r="K74" s="2">
        <v>43262</v>
      </c>
      <c r="L74">
        <v>86</v>
      </c>
      <c r="M74">
        <v>7</v>
      </c>
      <c r="N74">
        <v>7.2</v>
      </c>
      <c r="O74" t="s">
        <v>344</v>
      </c>
      <c r="P74" t="s">
        <v>345</v>
      </c>
      <c r="Q74" t="s">
        <v>335</v>
      </c>
      <c r="W74" t="s">
        <v>490</v>
      </c>
    </row>
    <row r="75" spans="1:24" x14ac:dyDescent="0.3">
      <c r="A75" t="s">
        <v>35</v>
      </c>
      <c r="B75" s="1">
        <f t="shared" si="9"/>
        <v>250823204</v>
      </c>
      <c r="C75" s="7">
        <v>45892</v>
      </c>
      <c r="D75" s="7" t="s">
        <v>307</v>
      </c>
      <c r="E75" s="9">
        <v>204</v>
      </c>
      <c r="F75" t="s">
        <v>359</v>
      </c>
      <c r="G75" t="s">
        <v>509</v>
      </c>
      <c r="H75" t="s">
        <v>510</v>
      </c>
      <c r="I75" t="s">
        <v>511</v>
      </c>
      <c r="J75" t="s">
        <v>1</v>
      </c>
      <c r="K75" s="2">
        <v>43210</v>
      </c>
      <c r="L75">
        <v>88</v>
      </c>
      <c r="M75">
        <v>7</v>
      </c>
      <c r="N75">
        <v>7.34</v>
      </c>
      <c r="O75" t="s">
        <v>48</v>
      </c>
      <c r="P75" t="s">
        <v>384</v>
      </c>
      <c r="Q75" t="s">
        <v>335</v>
      </c>
    </row>
    <row r="76" spans="1:24" x14ac:dyDescent="0.3">
      <c r="A76" t="s">
        <v>35</v>
      </c>
      <c r="B76" s="1">
        <f t="shared" si="9"/>
        <v>250823205</v>
      </c>
      <c r="C76" s="7">
        <v>45892</v>
      </c>
      <c r="D76" s="7" t="s">
        <v>307</v>
      </c>
      <c r="E76" s="9">
        <v>205</v>
      </c>
      <c r="F76" t="s">
        <v>37</v>
      </c>
      <c r="G76" t="s">
        <v>483</v>
      </c>
      <c r="H76" t="s">
        <v>484</v>
      </c>
      <c r="I76" t="s">
        <v>485</v>
      </c>
      <c r="J76" t="s">
        <v>47</v>
      </c>
      <c r="K76" s="2">
        <v>43615</v>
      </c>
      <c r="L76">
        <v>74</v>
      </c>
      <c r="M76">
        <v>6</v>
      </c>
      <c r="N76">
        <v>6.23</v>
      </c>
      <c r="O76" t="s">
        <v>486</v>
      </c>
      <c r="P76" t="s">
        <v>340</v>
      </c>
      <c r="Q76" t="s">
        <v>487</v>
      </c>
    </row>
    <row r="77" spans="1:24" x14ac:dyDescent="0.3">
      <c r="A77" t="s">
        <v>35</v>
      </c>
      <c r="B77" s="1">
        <f t="shared" ref="B77:B79" si="10">250823000+E77</f>
        <v>250823303</v>
      </c>
      <c r="C77" s="7">
        <v>45892</v>
      </c>
      <c r="D77" s="2" t="s">
        <v>312</v>
      </c>
      <c r="E77">
        <v>303</v>
      </c>
      <c r="F77" t="s">
        <v>37</v>
      </c>
      <c r="G77" t="s">
        <v>491</v>
      </c>
      <c r="H77" t="s">
        <v>508</v>
      </c>
      <c r="I77" t="s">
        <v>492</v>
      </c>
      <c r="J77" t="s">
        <v>1</v>
      </c>
      <c r="K77" s="2">
        <v>43026</v>
      </c>
      <c r="L77">
        <v>94</v>
      </c>
      <c r="M77">
        <v>7</v>
      </c>
      <c r="N77">
        <v>7.85</v>
      </c>
      <c r="O77" t="s">
        <v>344</v>
      </c>
      <c r="P77" t="s">
        <v>345</v>
      </c>
      <c r="Q77" t="s">
        <v>335</v>
      </c>
      <c r="W77" t="s">
        <v>493</v>
      </c>
    </row>
    <row r="78" spans="1:24" x14ac:dyDescent="0.3">
      <c r="A78" t="s">
        <v>35</v>
      </c>
      <c r="B78" s="1">
        <f t="shared" si="10"/>
        <v>250823304</v>
      </c>
      <c r="C78" s="2">
        <v>45892</v>
      </c>
      <c r="D78" t="s">
        <v>312</v>
      </c>
      <c r="E78">
        <v>304</v>
      </c>
      <c r="F78" t="s">
        <v>37</v>
      </c>
      <c r="G78" t="s">
        <v>494</v>
      </c>
      <c r="H78" t="s">
        <v>495</v>
      </c>
      <c r="I78" t="s">
        <v>492</v>
      </c>
      <c r="J78" t="s">
        <v>1</v>
      </c>
      <c r="K78" s="2">
        <v>43945</v>
      </c>
      <c r="L78">
        <v>63</v>
      </c>
      <c r="M78">
        <v>5</v>
      </c>
      <c r="N78">
        <v>5.33</v>
      </c>
      <c r="O78" t="s">
        <v>48</v>
      </c>
      <c r="P78" t="s">
        <v>384</v>
      </c>
      <c r="Q78" t="s">
        <v>335</v>
      </c>
      <c r="W78" t="s">
        <v>493</v>
      </c>
    </row>
    <row r="79" spans="1:24" x14ac:dyDescent="0.3">
      <c r="A79" t="s">
        <v>35</v>
      </c>
      <c r="B79" s="1">
        <f t="shared" si="10"/>
        <v>250823401</v>
      </c>
      <c r="C79" s="7">
        <v>45892</v>
      </c>
      <c r="D79" s="2" t="s">
        <v>319</v>
      </c>
      <c r="E79">
        <v>401</v>
      </c>
      <c r="F79" t="s">
        <v>37</v>
      </c>
      <c r="G79" t="s">
        <v>514</v>
      </c>
      <c r="H79" t="s">
        <v>517</v>
      </c>
      <c r="I79" t="s">
        <v>515</v>
      </c>
      <c r="J79" t="s">
        <v>1</v>
      </c>
      <c r="K79" s="2">
        <v>43600</v>
      </c>
      <c r="L79">
        <v>75</v>
      </c>
      <c r="M79">
        <v>6</v>
      </c>
      <c r="N79">
        <v>6.27</v>
      </c>
      <c r="O79" t="s">
        <v>333</v>
      </c>
      <c r="P79" t="s">
        <v>450</v>
      </c>
      <c r="Q79" t="s">
        <v>335</v>
      </c>
      <c r="R79" t="s">
        <v>512</v>
      </c>
      <c r="S79" t="s">
        <v>513</v>
      </c>
      <c r="W79" t="s">
        <v>516</v>
      </c>
    </row>
    <row r="80" spans="1:24" x14ac:dyDescent="0.3">
      <c r="A80" t="s">
        <v>35</v>
      </c>
      <c r="B80" s="1">
        <f>250830000+E80</f>
        <v>250830301</v>
      </c>
      <c r="C80" s="2">
        <v>45899</v>
      </c>
      <c r="D80" t="s">
        <v>312</v>
      </c>
      <c r="E80">
        <v>301</v>
      </c>
      <c r="F80" t="s">
        <v>465</v>
      </c>
      <c r="G80" t="s">
        <v>496</v>
      </c>
      <c r="H80" t="s">
        <v>497</v>
      </c>
      <c r="I80" t="s">
        <v>498</v>
      </c>
      <c r="J80" t="s">
        <v>47</v>
      </c>
      <c r="K80" s="2">
        <v>42933</v>
      </c>
      <c r="L80">
        <v>97</v>
      </c>
      <c r="M80">
        <v>8</v>
      </c>
      <c r="N80">
        <v>8.1199999999999992</v>
      </c>
      <c r="O80" t="s">
        <v>333</v>
      </c>
      <c r="P80" t="s">
        <v>450</v>
      </c>
      <c r="Q80" t="s">
        <v>335</v>
      </c>
    </row>
    <row r="81" spans="1:23" x14ac:dyDescent="0.3">
      <c r="A81" t="s">
        <v>35</v>
      </c>
      <c r="B81" s="1">
        <f t="shared" ref="B81:B82" si="11">250830000+E81</f>
        <v>250830303</v>
      </c>
      <c r="C81" s="2">
        <v>45899</v>
      </c>
      <c r="D81" t="s">
        <v>312</v>
      </c>
      <c r="E81">
        <v>303</v>
      </c>
      <c r="F81" t="s">
        <v>465</v>
      </c>
      <c r="G81" t="s">
        <v>499</v>
      </c>
      <c r="H81" t="s">
        <v>500</v>
      </c>
      <c r="I81" t="s">
        <v>501</v>
      </c>
      <c r="J81" t="s">
        <v>47</v>
      </c>
      <c r="K81" s="2">
        <v>42737</v>
      </c>
      <c r="L81">
        <v>103</v>
      </c>
      <c r="M81">
        <v>8</v>
      </c>
      <c r="N81">
        <v>8.66</v>
      </c>
      <c r="O81" t="s">
        <v>344</v>
      </c>
      <c r="P81" t="s">
        <v>345</v>
      </c>
      <c r="Q81" t="s">
        <v>335</v>
      </c>
      <c r="W81" t="s">
        <v>502</v>
      </c>
    </row>
    <row r="82" spans="1:23" x14ac:dyDescent="0.3">
      <c r="A82" t="s">
        <v>35</v>
      </c>
      <c r="B82" s="1">
        <f t="shared" si="11"/>
        <v>250830503</v>
      </c>
      <c r="C82" s="2">
        <v>45899</v>
      </c>
      <c r="D82" t="s">
        <v>409</v>
      </c>
      <c r="E82">
        <v>503</v>
      </c>
      <c r="F82" t="s">
        <v>37</v>
      </c>
      <c r="G82" t="s">
        <v>503</v>
      </c>
      <c r="H82" t="s">
        <v>504</v>
      </c>
      <c r="I82" t="s">
        <v>505</v>
      </c>
      <c r="J82" t="s">
        <v>1</v>
      </c>
      <c r="K82" s="2">
        <v>42577</v>
      </c>
      <c r="L82">
        <v>109</v>
      </c>
      <c r="M82">
        <v>9</v>
      </c>
      <c r="N82">
        <v>9.09</v>
      </c>
      <c r="O82" t="s">
        <v>344</v>
      </c>
      <c r="P82" t="s">
        <v>345</v>
      </c>
      <c r="Q82" t="s">
        <v>335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Jisu_Chung</dc:creator>
  <cp:lastModifiedBy>leelab</cp:lastModifiedBy>
  <dcterms:created xsi:type="dcterms:W3CDTF">2024-05-02T07:22:26Z</dcterms:created>
  <dcterms:modified xsi:type="dcterms:W3CDTF">2026-01-27T13:30:03Z</dcterms:modified>
</cp:coreProperties>
</file>