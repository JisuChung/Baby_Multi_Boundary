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CNL\DEvl\Multi\Museum_data\Exp1_Multi_boundary\"/>
    </mc:Choice>
  </mc:AlternateContent>
  <xr:revisionPtr revIDLastSave="0" documentId="13_ncr:1_{DDAEFD74-5E18-4E8A-B26F-1C8D1A847A1A}" xr6:coauthVersionLast="36" xr6:coauthVersionMax="36" xr10:uidLastSave="{00000000-0000-0000-0000-000000000000}"/>
  <bookViews>
    <workbookView xWindow="0" yWindow="0" windowWidth="33930" windowHeight="12765" xr2:uid="{E6C45370-CA08-457A-9E7B-9D1325BB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" i="1" l="1"/>
  <c r="B99" i="1"/>
  <c r="B85" i="1" l="1"/>
  <c r="B105" i="1" l="1"/>
  <c r="B106" i="1"/>
  <c r="B104" i="1"/>
  <c r="B101" i="1"/>
  <c r="B103" i="1"/>
  <c r="B100" i="1"/>
  <c r="B97" i="1"/>
  <c r="B98" i="1"/>
  <c r="B96" i="1"/>
  <c r="B87" i="1" l="1"/>
  <c r="B90" i="1" l="1"/>
  <c r="B91" i="1"/>
  <c r="B92" i="1"/>
  <c r="B93" i="1"/>
  <c r="B94" i="1"/>
  <c r="B95" i="1"/>
  <c r="B89" i="1"/>
  <c r="B86" i="1" l="1"/>
  <c r="B88" i="1"/>
  <c r="B84" i="1"/>
  <c r="B83" i="1"/>
  <c r="B82" i="1"/>
  <c r="B81" i="1" l="1"/>
  <c r="B80" i="1"/>
  <c r="B74" i="1"/>
  <c r="B75" i="1"/>
  <c r="B76" i="1"/>
  <c r="B77" i="1"/>
  <c r="B78" i="1"/>
  <c r="B79" i="1"/>
  <c r="B73" i="1"/>
  <c r="B72" i="1"/>
  <c r="B65" i="1" l="1"/>
  <c r="B66" i="1"/>
  <c r="B67" i="1"/>
  <c r="B68" i="1"/>
  <c r="B69" i="1"/>
  <c r="B70" i="1"/>
  <c r="B71" i="1"/>
  <c r="B64" i="1"/>
  <c r="B63" i="1"/>
  <c r="B61" i="1"/>
  <c r="B62" i="1"/>
  <c r="B59" i="1" l="1"/>
  <c r="B60" i="1"/>
  <c r="B58" i="1"/>
  <c r="B54" i="1"/>
  <c r="B55" i="1"/>
  <c r="B56" i="1"/>
  <c r="B57" i="1"/>
  <c r="B53" i="1"/>
  <c r="B52" i="1"/>
  <c r="B48" i="1"/>
  <c r="B49" i="1"/>
  <c r="B50" i="1"/>
  <c r="B51" i="1"/>
  <c r="B47" i="1"/>
  <c r="B44" i="1"/>
  <c r="B45" i="1"/>
  <c r="B46" i="1"/>
  <c r="B43" i="1"/>
  <c r="B40" i="1"/>
  <c r="B41" i="1"/>
  <c r="B42" i="1"/>
  <c r="B39" i="1"/>
  <c r="B36" i="1" l="1"/>
  <c r="B37" i="1"/>
  <c r="B38" i="1"/>
  <c r="B35" i="1"/>
  <c r="B26" i="1"/>
  <c r="B27" i="1"/>
  <c r="B28" i="1"/>
  <c r="B29" i="1"/>
  <c r="B30" i="1"/>
  <c r="B31" i="1"/>
  <c r="B32" i="1"/>
  <c r="B33" i="1"/>
  <c r="B25" i="1"/>
  <c r="B24" i="1"/>
  <c r="B34" i="1"/>
</calcChain>
</file>

<file path=xl/sharedStrings.xml><?xml version="1.0" encoding="utf-8"?>
<sst xmlns="http://schemas.openxmlformats.org/spreadsheetml/2006/main" count="1823" uniqueCount="907">
  <si>
    <t>연구실</t>
  </si>
  <si>
    <t>남</t>
  </si>
  <si>
    <t>Yoga</t>
  </si>
  <si>
    <t>3+knob</t>
  </si>
  <si>
    <t>여</t>
  </si>
  <si>
    <t>PM 2:30</t>
  </si>
  <si>
    <t>사전예약</t>
  </si>
  <si>
    <t>SSG</t>
  </si>
  <si>
    <t>현장참여</t>
  </si>
  <si>
    <t>LSH</t>
  </si>
  <si>
    <t>YJ</t>
  </si>
  <si>
    <t>4keys</t>
  </si>
  <si>
    <t>PM 3:30</t>
  </si>
  <si>
    <t>JDB</t>
  </si>
  <si>
    <t>HS+touch</t>
  </si>
  <si>
    <t>SGY</t>
  </si>
  <si>
    <t>PM 4:30</t>
  </si>
  <si>
    <t>유하진</t>
  </si>
  <si>
    <t>010-2445-7992</t>
  </si>
  <si>
    <t>EM_multi</t>
  </si>
  <si>
    <t>AM 10:30</t>
  </si>
  <si>
    <t>장채원</t>
  </si>
  <si>
    <t>박다온</t>
  </si>
  <si>
    <t>박상욱</t>
  </si>
  <si>
    <t>010-7687-4628</t>
  </si>
  <si>
    <t>일반키보드 (하얀키보드 + 색깔버튼)</t>
  </si>
  <si>
    <t>PM 12:30</t>
  </si>
  <si>
    <t>이지안</t>
  </si>
  <si>
    <t>최윤정</t>
  </si>
  <si>
    <t>010-3399-0521</t>
  </si>
  <si>
    <t>안수호</t>
  </si>
  <si>
    <t>신선희</t>
  </si>
  <si>
    <t>010-9764-7060</t>
  </si>
  <si>
    <t>최지안</t>
  </si>
  <si>
    <t>박주희</t>
  </si>
  <si>
    <t>010-4775-9135</t>
  </si>
  <si>
    <t>안나은</t>
  </si>
  <si>
    <t>동그라미</t>
  </si>
  <si>
    <t>010-7151-4031</t>
  </si>
  <si>
    <t>황은설</t>
  </si>
  <si>
    <t>권은정/황경현?</t>
  </si>
  <si>
    <t>010-3541-6991</t>
  </si>
  <si>
    <t>JC</t>
  </si>
  <si>
    <t>김동욱</t>
  </si>
  <si>
    <t>김준걸/조선미</t>
  </si>
  <si>
    <t>010-9811-4662</t>
  </si>
  <si>
    <t>AM 11:30</t>
  </si>
  <si>
    <t>최시현</t>
  </si>
  <si>
    <t>하승주</t>
  </si>
  <si>
    <t>010-6877-5955</t>
  </si>
  <si>
    <t>김정우</t>
  </si>
  <si>
    <t>김정연/곽정은</t>
  </si>
  <si>
    <t>010-9054-8245</t>
  </si>
  <si>
    <t>김유나</t>
  </si>
  <si>
    <t>김성국/이지혜</t>
  </si>
  <si>
    <t>010-8862-8945</t>
  </si>
  <si>
    <t>김종희</t>
  </si>
  <si>
    <t>구희송</t>
  </si>
  <si>
    <t>010-2514-9209</t>
  </si>
  <si>
    <t>진이한</t>
  </si>
  <si>
    <t>한수윤</t>
  </si>
  <si>
    <t>010-8798-7795</t>
  </si>
  <si>
    <t>김강민</t>
  </si>
  <si>
    <t>서혜미</t>
  </si>
  <si>
    <t>010-9084-5466</t>
  </si>
  <si>
    <t>JDB,SSG (+JC Sup)</t>
  </si>
  <si>
    <t>이재헌</t>
  </si>
  <si>
    <t>김유린</t>
  </si>
  <si>
    <t>010-2379-1370</t>
  </si>
  <si>
    <t>박단비</t>
  </si>
  <si>
    <t>박다름</t>
  </si>
  <si>
    <t>010-4703-4674</t>
  </si>
  <si>
    <t>추연우</t>
  </si>
  <si>
    <t>박지빈</t>
  </si>
  <si>
    <t>010-7269-7989</t>
  </si>
  <si>
    <t>HS+touch -&gt; YJ</t>
  </si>
  <si>
    <t>PM 4:00</t>
  </si>
  <si>
    <t>조하엘</t>
  </si>
  <si>
    <t>서유진</t>
  </si>
  <si>
    <t>010-5196-0426</t>
  </si>
  <si>
    <t>AM 10:00</t>
  </si>
  <si>
    <t>이하준</t>
  </si>
  <si>
    <t>박소영</t>
  </si>
  <si>
    <t>010-8828-7141</t>
  </si>
  <si>
    <t>이주아</t>
  </si>
  <si>
    <t>이지민</t>
  </si>
  <si>
    <t>010-9337-4890</t>
  </si>
  <si>
    <t>이소율</t>
  </si>
  <si>
    <t>이선정</t>
  </si>
  <si>
    <t>010-4794-8776</t>
  </si>
  <si>
    <t>임세아</t>
  </si>
  <si>
    <t>임성민</t>
  </si>
  <si>
    <t>010-3174-3579</t>
  </si>
  <si>
    <t>HS</t>
  </si>
  <si>
    <t>expdate</t>
  </si>
  <si>
    <t>exptime</t>
  </si>
  <si>
    <t>subjectkey</t>
  </si>
  <si>
    <t>pre/onsite</t>
  </si>
  <si>
    <t>name_child</t>
  </si>
  <si>
    <t>name_parent</t>
  </si>
  <si>
    <t>phone</t>
  </si>
  <si>
    <t>sex</t>
  </si>
  <si>
    <t>birthdate</t>
  </si>
  <si>
    <t>age_mo</t>
  </si>
  <si>
    <t>age_yr</t>
  </si>
  <si>
    <t>age_yrfrac</t>
  </si>
  <si>
    <t>experimenter</t>
  </si>
  <si>
    <t>computer</t>
  </si>
  <si>
    <t>button</t>
  </si>
  <si>
    <t>Task</t>
    <phoneticPr fontId="1" type="noConversion"/>
  </si>
  <si>
    <t>ID</t>
    <phoneticPr fontId="1" type="noConversion"/>
  </si>
  <si>
    <t>문서진</t>
  </si>
  <si>
    <t>전경희</t>
  </si>
  <si>
    <t>010-4611-4209</t>
  </si>
  <si>
    <t>KNW</t>
  </si>
  <si>
    <t>손도하</t>
  </si>
  <si>
    <t>유인선</t>
  </si>
  <si>
    <t>010-3354-6578</t>
  </si>
  <si>
    <t>JSE</t>
  </si>
  <si>
    <t>White+touch</t>
  </si>
  <si>
    <t>조유찬</t>
  </si>
  <si>
    <t>배세영</t>
  </si>
  <si>
    <t>010-3637-0515</t>
  </si>
  <si>
    <t>안준우</t>
  </si>
  <si>
    <t>김현진</t>
  </si>
  <si>
    <t>010-3082-8270</t>
  </si>
  <si>
    <t>박시헌</t>
  </si>
  <si>
    <t>김남영</t>
  </si>
  <si>
    <t>010-9394-4551</t>
  </si>
  <si>
    <t>김노아</t>
  </si>
  <si>
    <t>김수연</t>
  </si>
  <si>
    <t>010-3013-7282</t>
  </si>
  <si>
    <t>김예찬</t>
  </si>
  <si>
    <t>김정준</t>
  </si>
  <si>
    <t>010-3298-2235</t>
  </si>
  <si>
    <t>GK</t>
  </si>
  <si>
    <t>Pink+touch</t>
  </si>
  <si>
    <t>일반키보드 (검은)</t>
  </si>
  <si>
    <t>정유나</t>
  </si>
  <si>
    <t>김수진</t>
  </si>
  <si>
    <t>010-9872-0720</t>
  </si>
  <si>
    <t>김보배</t>
  </si>
  <si>
    <t>유현아</t>
  </si>
  <si>
    <t>010-5527-6016</t>
  </si>
  <si>
    <t>윤슬아</t>
  </si>
  <si>
    <t>유승남</t>
  </si>
  <si>
    <t>010-7304-9618</t>
  </si>
  <si>
    <t>etc</t>
    <phoneticPr fontId="1" type="noConversion"/>
  </si>
  <si>
    <t>이전에 참여한 적 있음, adhd 의심</t>
    <phoneticPr fontId="1" type="noConversion"/>
  </si>
  <si>
    <t>ASD or Intellectual Disability 의심</t>
    <phoneticPr fontId="1" type="noConversion"/>
  </si>
  <si>
    <t>조예정</t>
  </si>
  <si>
    <t>조전림</t>
  </si>
  <si>
    <t>010-8325-3383</t>
  </si>
  <si>
    <t>강누리</t>
  </si>
  <si>
    <t>박초롱</t>
  </si>
  <si>
    <t>010-8622-3523</t>
  </si>
  <si>
    <t>곽나로</t>
  </si>
  <si>
    <t>곽정삼</t>
  </si>
  <si>
    <t>010-8773-4388</t>
  </si>
  <si>
    <t>황서윤</t>
  </si>
  <si>
    <t>CJE</t>
  </si>
  <si>
    <t>이솔지</t>
  </si>
  <si>
    <t>김민희</t>
  </si>
  <si>
    <t>010-4446-0224</t>
  </si>
  <si>
    <t>이연지</t>
  </si>
  <si>
    <t>reject</t>
    <phoneticPr fontId="1" type="noConversion"/>
  </si>
  <si>
    <t>run_reject</t>
    <phoneticPr fontId="1" type="noConversion"/>
  </si>
  <si>
    <t>em_pass</t>
    <phoneticPr fontId="1" type="noConversion"/>
  </si>
  <si>
    <t>inter_pass</t>
    <phoneticPr fontId="1" type="noConversion"/>
  </si>
  <si>
    <t>pass/pending/fail</t>
  </si>
  <si>
    <t>headphone</t>
  </si>
  <si>
    <t>pointing</t>
  </si>
  <si>
    <t>reason_pass/fail</t>
  </si>
  <si>
    <t>subjectkey_v2</t>
  </si>
  <si>
    <t>note_1</t>
  </si>
  <si>
    <t>note_2</t>
  </si>
  <si>
    <t>Q1</t>
  </si>
  <si>
    <t>Q2- ani, loc strategy</t>
  </si>
  <si>
    <t>Q3- ani, loc easy</t>
  </si>
  <si>
    <t>Q4-ani, OX</t>
  </si>
  <si>
    <t>pass</t>
  </si>
  <si>
    <t>practice부터</t>
  </si>
  <si>
    <t>오른손</t>
  </si>
  <si>
    <t>문제 없음</t>
  </si>
  <si>
    <t>context 1: multi, c2-b2-a, zoom 소리 연습부터 녹음됨</t>
  </si>
  <si>
    <t>호응 좋고 적극적, 가만히 잘 있고 task 집중 잘하는 편, 기억하려고 손으로 위치 잡는 듯, 하이파이브 하고 본 task 진행</t>
  </si>
  <si>
    <t>재밌었어요. 다. 몬스터 기억은 어려웠고, 두 방의 소리가 다른 것 같고, 가끔씩 오른쪽과 왼쪽이 달랐으며 소리가 바뀌는 것이 방해인지는 잘 모르겠다고 말함, 예시 그림과의 차이점에 대해서는 처음엔 차이 없다고 했으나, 나중에 돌 같은게 있다고 얘기함. 이것이 왼쪽과 오른쪽으로 공간을 나누어서 도움이 된 것 같다고 함.</t>
  </si>
  <si>
    <t>ani: 이름을 지어서 각각 외웠고, 처음에만 이렇게 외우고 중간에 다시 암기하려고 하진 않음, loc: 손가락으로 위치를 잡고, 돌 기준으로 왼쪽과 오른쪽으로 나누어서 각 손으로 가리킴</t>
  </si>
  <si>
    <t>없었어요</t>
  </si>
  <si>
    <t>몬스터를 계속 기억하려고 했으며, 단어 할 때는 이름들을 더 많이 기억하려고 했었다. 중간 중간에 몬스터 이름을 외우려고 애썼다.</t>
  </si>
  <si>
    <t>context 1: multi, b2-c2-a, set: 3, 연구참여자보관용과 동의서 바뀜 (법정대리인용) =&gt; 동의받고 연구자보관용으로</t>
  </si>
  <si>
    <t>zoom GK 1에 들어가서 1번 station과 녹화가 겹침</t>
  </si>
  <si>
    <t>재밌었어요. 두 방이 다른지 잘 모름, 중간에 소리가 바뀜, 도움이 됨 - 잘 구별 할 수 있었다.</t>
  </si>
  <si>
    <t>ani: 색깔과 번호를 1번 2번 이런 방식으로 메겨서 순서대로 기억함, loc: X</t>
  </si>
  <si>
    <t>4번이 좋아서 기억 잘남</t>
  </si>
  <si>
    <t>단어 퀴즈하면서도 몬스터 순서나 위치를 계속 기억하려고 했다. L자, ㄹ자 등의 위치나 순서를 기억하려고 했다.</t>
  </si>
  <si>
    <t>(EM) pass / (inter) pending</t>
  </si>
  <si>
    <t>interference과정에서 실수라고 말한 trial이 존재</t>
  </si>
  <si>
    <t>context 1: multi, b2-a-c2, set: 4, 301 &amp; 302 &amp; 304 지인</t>
  </si>
  <si>
    <t>본 task 진행 때 말하면서 암기하려고 했고, interference과정에서 실수라고 말한 trial이 존재</t>
  </si>
  <si>
    <t>재밌었어요. 두 방 소리가 다르고 방 중간에 바뀌었어요. 낮은 벽 존재했고 이게 도움도 방해도 되지 않았다.</t>
  </si>
  <si>
    <t>ani: 특징들, 예를 들면 머리에 연필 같은거 꽂혀 있고, 동그란 모양에 털이 삐죽하게 튀어나오고, 솜사탕같은 모양을 하고 있는 것들을 기억, loc: 세모 모양이나 삼각형을 그려서 기억</t>
  </si>
  <si>
    <t>ani: 5번 몬스터가 머리에 연필같은게 꽂혀 있어서 잘 기억났음, loc: 따로 없음</t>
  </si>
  <si>
    <t>계속 기억하거나 외우려고 애썼다. 머릿/마음 속으로 특징들을 기억하려고 했다.</t>
  </si>
  <si>
    <t>run3 trial2 interference과정 3번째에서 치약 O누르려고 했는데 X누름</t>
  </si>
  <si>
    <t>context 2: multi, b2-a-c2, set: 10, (동의서 설명 KSM) 301 &amp; 302 &amp; 304 지인</t>
  </si>
  <si>
    <t>run3 trial2 interference과정 3번째에서 치약 O누르려고 했는데 X누름, 쉬운 난이도라고 느끼며 재밌었다고 하고 아이의 반응속도는 매우 빠른 편이다. 학습 이해도도 좋은 편이다.</t>
  </si>
  <si>
    <t>재밌었어요. 사막에서는 소리가 중간에 몬스터마다 바뀌었어요. 사막 절반과 다른방이 같았다. 가운데 낮은 벽이 도움이 되지 않았고 장애물로 느껴졌다.</t>
  </si>
  <si>
    <t>ani: 이미지적으로 기억하려고 하였다. 몬스터 색깔을 특징 삼았다, loc: 구멍의 모양을 삼각형 같은 모양으로 그렸다.</t>
  </si>
  <si>
    <t>ani: 오렌지같은 3번 몬스터가 가장 잘 기억나고 가장 많이 나온 것 같다. loc: X</t>
  </si>
  <si>
    <t>OX에만 집중하였다.</t>
  </si>
  <si>
    <t>context 2: multi, c2-a-b2, set: 8, run3 끝나고 물 마시느라 잠시 중단 후 재개</t>
  </si>
  <si>
    <t>2run 2trial에서 단어들의 공통 사항들을 파악함</t>
  </si>
  <si>
    <t>재밌었어요. 두 방의 소리가 다르고 중간에 바뀌는 것은 느끼지 못 하였다. 가운데 낮은 벽을 인지하였고 이것이 도움이 되었다.</t>
  </si>
  <si>
    <t>ani: 몽실, 솜사탕 등 모양을 생각하면서 기억, loc: 벽을 기준으로 어느 쪽에 있었는지로 기억</t>
  </si>
  <si>
    <t>ani: 4번 몬스터를 초록색 몽실몽실이라고 하면서 기억이 잘 났다고 하였다.</t>
  </si>
  <si>
    <t>OX퀴즈에만 집중하였고 단어 맞추기 하고 끝나고 떠올리기를 통해 생각하였다.</t>
  </si>
  <si>
    <t>2-1run 2nd trial OX퀴즈에서 곤충을 X인데 O로 잘못 고름</t>
  </si>
  <si>
    <t>set: 9, (zoom 녹화 X) 만 4세 (4.4세) 여아 동생 있음</t>
  </si>
  <si>
    <t>2-1run 2nd trial OX퀴즈에서 곤충을 X인데 O로 잘못 고름, 이해도는 좋으나 반응이 약간 느린 편, 상세하게 물어보면 설명하는 편임, 침착하고 오른손을 주로 사용하며 위치는 이미지의 '상'으로 기억해서 전략은 색깔인 것 같음.</t>
  </si>
  <si>
    <t>90점정도 재밌었어요. 두 방 소리가 다른지 잘 모르겠고, 벽이 존재하는지 기억이 안남.</t>
  </si>
  <si>
    <t>ani: 색깔이랑 구멍을 매치하고 색깔의 순서를 맞추었다. loc: 순서를 머릿속으로 기억했다.</t>
  </si>
  <si>
    <t>ani: 따로 특정되지 않는다. loc: 황토색 배경에서 중간 라인 구멍이 집중이 잘되었다.</t>
  </si>
  <si>
    <t>OX퀴즈에만 집중하였다.</t>
  </si>
  <si>
    <t>context 2: multi, b2-c2-a, set: 9, 당근</t>
  </si>
  <si>
    <t>재밌었어요. 두 방의 소리가 달라지지 않았고, 한 마리가 나올 때 중간에 소리가 바뀜, 낮은 벽이 도움이 되었다.</t>
  </si>
  <si>
    <t>ani: 몬스터 아랫부분 색깔과 자리를 연결지어서 기억, loc: 같은 색이면 두번째 칸</t>
  </si>
  <si>
    <t>ani: 딱히 없음, loc: 한쪽 벽이 더 쉬웠음.</t>
  </si>
  <si>
    <t>둘 다 기억하려고 애썼다.</t>
  </si>
  <si>
    <t>actual부터</t>
  </si>
  <si>
    <t>sbjnum만 수정하면 문제 없음</t>
  </si>
  <si>
    <t>set: 12, 102 &amp; 103 형제, zoom 소리 녹음 안됨</t>
  </si>
  <si>
    <t>sbjnum이 103인데 301이라 적었고, matlab 입력 값도 301이라고 적음, 게임 이해도 잘 하고 연습 게임도 다 맞춤</t>
  </si>
  <si>
    <t>엄마가 신청해서 왔다고 답함, 소리가 똑같고 방에 따라 안 달라진다고 말함, 가운데 벽이 없었다고 말함. 대부분의 질문에 대해서 계속 보고 있었어요 라고 말함.</t>
  </si>
  <si>
    <t>ani: 보고 외웠다. loc: 보고 기억했다.</t>
  </si>
  <si>
    <t>X</t>
  </si>
  <si>
    <t>단어만 외웠다.</t>
  </si>
  <si>
    <t>(EM) pass / (inter) fail</t>
  </si>
  <si>
    <t>EM은 괜찮은데 interference 데이터는 못 쓸듯</t>
  </si>
  <si>
    <t>set: 5</t>
  </si>
  <si>
    <t>집중력이 조금 떨어짐, 초반에 화면을 잘 안봄, 몬스터 때 '기억이 안난다'라고 하면서 맞춤, 단어 게임 거의 O만 눌렀고 단어 지나갈 때 화면을 가끔씩 안 보는 경우도 있음, 아예 O버튼에 손가락을 올리고 있음.</t>
  </si>
  <si>
    <t>좋았어요, 소리가 달랐어요, 방 중간에 소리가 바뀌는지는 모르겠어요, 낮은 벽이 있든 없든 동일했어요.</t>
  </si>
  <si>
    <t>ani: 모양을 보고 외웠다. loc: X</t>
  </si>
  <si>
    <t>ani: 2번 몬스터 잘 기억남. loc: X. seq: X</t>
  </si>
  <si>
    <t>몬스터도 생각함</t>
  </si>
  <si>
    <t>fail</t>
  </si>
  <si>
    <t>run2 때 trial1에서 단어 외우기 집중 모함, trial2에서 몬스터 외우기 집중 안하고 몬스터 아무거나 누름</t>
  </si>
  <si>
    <t>set: 2</t>
  </si>
  <si>
    <t>말하면서 외우는 스타일, run2 때 trial1에서 단어 외우기 집중 모함, trial2에서 몬스터 외우기 집중 안하고 몬스터 아무거나 누름, run2 끝나고 3번만 더 하자해서 쉬었다가 다시 시작함</t>
  </si>
  <si>
    <t>재밌었어요, 소리 안 달랐다, 구멍 위치가 예시 그림과 달랐다, 벽이 있었고 외우는데 도움이 되었다.</t>
  </si>
  <si>
    <t>ani: 안 보일 때 상상을 했다. loc: 상상했다.</t>
  </si>
  <si>
    <t>단어만 집중해서 외웠다.</t>
  </si>
  <si>
    <t>EM은 괜찮은데 run3부터 힘들어하면서 단어 다 X 누름</t>
  </si>
  <si>
    <t>set:11, run1 끝나고 zoom 화면 녹화 끊김(소리는 유지)</t>
  </si>
  <si>
    <t>손으로 짚으면서 위치를 기억하려고 애썼고, 단어는 말하면서 기억하려고 했다. run3 전에 쉬고 시작하고 run3부터 힘들어하면서 단어 다 X 누름</t>
  </si>
  <si>
    <t>재밌었는데 오래해 서 힘듦, 소리가 다르지 않다고 말함, 낮은 벽은 있었고 신경은 쓰지 않음</t>
  </si>
  <si>
    <t>ani: 털 복숭이, 구르미 등 이름을 부티며 외움. loc: 손가락으로 가리키면서 외움</t>
  </si>
  <si>
    <t>ani: 못 생긴 몬스터 기억 잘남, loc: X</t>
  </si>
  <si>
    <t>몬스터 기억하려고 애썼다.</t>
  </si>
  <si>
    <t>context 1: multi, c2-b2-a, set: 1</t>
  </si>
  <si>
    <t>run4 집중 흐려져서 이것만 하면 끝난다고 설명함</t>
  </si>
  <si>
    <t>스티커까지 포함해서 다 재미있다, 한가지 종류의 게임만 해서 아쉽다, 왼쪽 방 끼리, 오른쪽 방 끼리 같았고(context A - 왼, context B - 왼), 돌이 가로 막혀 있었다. 소리따라 몬스터 더 기억</t>
  </si>
  <si>
    <t>ani: 소리로 기억하려고 했고 이름은 생각만 시도함. loc: 눈으로 보고 기억하되 소리가 도움이 되었다. 바위가 가로막는 위치를 기억하였다.</t>
  </si>
  <si>
    <t>ani: 3번 몬스터가 살이 통통해서 잘 기억나고 단어에서 치아를 실수함. loc: 한 쪽으로 몰리거나 가장자리(특히, 상단 모서리 측)에 있는 경우 잘 기억됨.</t>
  </si>
  <si>
    <t>하나만 집중하려고 함</t>
  </si>
  <si>
    <t>context2:multi,a-c2-b2,set:11</t>
  </si>
  <si>
    <t>4run 1trial단어ox퀴즈 준비시간이 너무 길었음.실험자 배소리(주르륵 소기..)가 너무 크게나서 방해되었을수도 있음</t>
  </si>
  <si>
    <t>재밌었어요./소리가 안났다고함./벽있음, 방해됨</t>
  </si>
  <si>
    <t>ani:좋아하는거,안좋아하는거,색깔.loc:패턴,도형을 그리듯이</t>
  </si>
  <si>
    <t>따로 없었다.</t>
  </si>
  <si>
    <t>몬스터 기억하려고 애씀</t>
  </si>
  <si>
    <t>pending</t>
  </si>
  <si>
    <t>2run1trial트럭 o,x잘못 눌렀다함.3run 1trial 첫번째 몬스터 위치 실수했다고 이거 여기였는데 했음</t>
  </si>
  <si>
    <t>B1-B2-NB,set:3</t>
  </si>
  <si>
    <t>재밌음/네,1번에서는 소리가 느리고 2번에서는 빨랐음.1번에서는 첫번째 때 느렸는데 나중은 모르겠고,2번에서는 모르겠다./1번에서는 배경 산이 바뀌고,2번에서는 안 바뀜.</t>
  </si>
  <si>
    <t>ani:몬스터 별로 번호를 매김.loc:선으로 그려서 모양</t>
  </si>
  <si>
    <t>1,2,5번 몬스터. 많이 나와서 기억 잘남.위치 다 잘 기억남</t>
  </si>
  <si>
    <t>단어만 기억남</t>
  </si>
  <si>
    <t>run1.2nd trial 2개만 고르고 가만히.</t>
  </si>
  <si>
    <t>context2:multi,c2-b2-2,set:7</t>
  </si>
  <si>
    <t>버튼 오른손으로만 누르려고함.현장대기 후 참여라 늦시작-&gt;ppt중간부터 zoom.연습때 소리x.run1.2nd trial 2개만 고르고 가만히.</t>
  </si>
  <si>
    <t>힘듬(게임,버튼 어렵,기억 어렵)/달라짐. /방해o.각 context 낮은 벽 기억x</t>
  </si>
  <si>
    <t>ani:버튼 자꾸 기억이 안남.loc:그냥 기억</t>
  </si>
  <si>
    <t>3번 몬스터, 2번 몬스터-&gt; 기억 위치잘함</t>
  </si>
  <si>
    <t>단어만</t>
  </si>
  <si>
    <t>run1 trial1 완전 버려야됨.기계이슈로 아이가 완전 제대로 못 보고 맞춤ㅠ</t>
  </si>
  <si>
    <t>B1-B2-NB,set:12</t>
  </si>
  <si>
    <t>501_1_1.mat 추가 (501_1_1.mat 필요 없음), practice까지 HS쓰다가 실전부터 유진사수님 삼성컴.실전때HS컴퓨터 갑자기 실행 안돼서 컴터 바꾸느라 아이도 조금 정신없었을수도./1run1trial완전 버려야됨.기계이슈로 아이가 완전 제대로 못 보고 맞춤ㅠ</t>
  </si>
  <si>
    <t>재밌음/달랐음,정확히모름.한 방에서소리가 두번씩 바뀜/동일함</t>
  </si>
  <si>
    <t>ani:x.loc:x</t>
  </si>
  <si>
    <t>몬스터x위치 각 방 맨 왼쪽</t>
  </si>
  <si>
    <t>잘 모름</t>
  </si>
  <si>
    <t>sound ver.3</t>
  </si>
  <si>
    <t>재밌었어요/어떤방소리o/x인 골로/벽기억안나다가 기억남.벽도움o.소리 좋았음.도움은x</t>
  </si>
  <si>
    <t>ani:몬스터기억.loc:패턴(몬스터-&gt;위치이렇게 기억함.)</t>
  </si>
  <si>
    <t>(특정몬스터)얘가 왼쪽위에 있던거 기억남.벽?패턴할때 쉬웠다.한쪽만 있는게 더 쉬움</t>
  </si>
  <si>
    <t>몬스터에 좀더 집중</t>
  </si>
  <si>
    <t>set:6</t>
  </si>
  <si>
    <t>괜찮았어요/소리달라짐.다른게 있었던거같기도,방안소리달라짐/초종봤고,갈색x,벽신경x</t>
  </si>
  <si>
    <t>ani:별명,특징이용.loc:그냥 기억</t>
  </si>
  <si>
    <t>털복숭이 몬스터</t>
  </si>
  <si>
    <t>몬스터기억-&gt;나중에는 ox집중</t>
  </si>
  <si>
    <t>set:5</t>
  </si>
  <si>
    <t>재밌었어요/달라졌어요.방마다 소리다름.방안소리바뀌는 경우도 똑같음/도움됨-&gt;왼쪽 오른쪽 구분</t>
  </si>
  <si>
    <t>ani:이름-&gt;bu모양.loc:그냥</t>
  </si>
  <si>
    <t>제일 여자인 애(3번)</t>
  </si>
  <si>
    <t>순서&amp;위치</t>
  </si>
  <si>
    <t>왼손</t>
  </si>
  <si>
    <t>set:2</t>
  </si>
  <si>
    <t>run2부터 집중안 한거 같음</t>
  </si>
  <si>
    <t>재밌었어요/소리가 같았어요.안 달라진거 같아요./가운데 벽 기억x</t>
  </si>
  <si>
    <t>ani:그냥,loc:그냥</t>
  </si>
  <si>
    <t>ani:4번째로 좋아한 몬스터,loc:오른쪽 위 위치</t>
  </si>
  <si>
    <t>ox집중</t>
  </si>
  <si>
    <t>B1-B2-NB,set:9</t>
  </si>
  <si>
    <t>기억 전략이 구체적이고 전략적이고 모범적인 답변을 많이 함</t>
  </si>
  <si>
    <t>재밌음/같았음.green에서 똑같고 카키에서 소리가 작았다 커짐./가운데 돌 같은게 있었음,도움됨.벽기준으로 왼/오에서 나타난 걸로 외움</t>
  </si>
  <si>
    <t>ani:모양(아이스크림,뾰족,길쭉).선호도(첫번쨰 좋아,두번째 좋아).loc:양끝/가운데로 분류해서 외움</t>
  </si>
  <si>
    <t>ani:5번.loc:green에서 카키에서 따로 외움.순서:카키에서 1(왼쪽)-&gt;2(오른쪽)-&gt;3(중간)</t>
  </si>
  <si>
    <t>몬스터 생각도 조금 함</t>
  </si>
  <si>
    <t>연습trial부터 줌 오디오/비디오 연결</t>
  </si>
  <si>
    <t>왼쪽 귀에서 피아노 소리/오른쪽귀에서 트럼펫</t>
  </si>
  <si>
    <t>ani:눈으로 보이는대로/loc:구멍 선택할때 빨간색으로 보이는 구멍 순서에 패턴이 있다고 함.영상기억할때는 눈에 보이는 대로...</t>
  </si>
  <si>
    <t>ani:3번 몬스터/loc: 둥근 큰 모양이라 파악하기 쉬웠다.</t>
  </si>
  <si>
    <t>퀴즈에만 집중</t>
  </si>
  <si>
    <t>옆 칸에 목소리 큰 친구가 있어서 distracted가능성 있음</t>
  </si>
  <si>
    <t>초반에 단어게임 시작버튼을 좀 느리게 누름</t>
  </si>
  <si>
    <t>ani:닮은 몬스터vs다른 몬스터/loc:그냥</t>
  </si>
  <si>
    <t>4,5째 몬스터</t>
  </si>
  <si>
    <t>단어로 기억하려고 함</t>
  </si>
  <si>
    <t>404 &amp; 405 남매, 목소리 크고 easily distracted, 더 재밌는 걸 원함</t>
  </si>
  <si>
    <t>스티커싫다고함. 많이hupe+목소리큼/대답잘 안함</t>
  </si>
  <si>
    <t>재밌었어요/달라졌어요</t>
  </si>
  <si>
    <t>ani:얘는 이거/loc:얘는 여기(대답제대로x)</t>
  </si>
  <si>
    <t>너무 쉬웠어요</t>
  </si>
  <si>
    <t>ox</t>
  </si>
  <si>
    <t>zoom 꽤 늦게 오디오/비디오 켬 ㅠㅠ</t>
  </si>
  <si>
    <t>기억자신없어함,,/버튼조작미숙/동물&amp;위치 화살표로 고르고 아 아닌데,, 고민 오래함</t>
  </si>
  <si>
    <t>왼쪽 다름/방해</t>
  </si>
  <si>
    <t>그냥 보이는대로 기억했어요</t>
  </si>
  <si>
    <t>ani:3번 몬스터/loc:모서리에 있을때</t>
  </si>
  <si>
    <t>기억하려고 했다.되뇌이고</t>
  </si>
  <si>
    <t>소리가 다른지!!</t>
  </si>
  <si>
    <t>ani:아래쪽 색깔보고 고름.초록색이 비슷한 두개가 헷갈렸다./'loc:가장 먼저 기억하려고 함</t>
  </si>
  <si>
    <t>좋아한 동물/싫어</t>
  </si>
  <si>
    <t>외우려고함</t>
  </si>
  <si>
    <t>6개월 전에 www 참여</t>
  </si>
  <si>
    <t>6개월 전에 www참여한 적 있음. 전에는 여기서 했었어요라고 함!</t>
  </si>
  <si>
    <t>run3-4너무 힘들어함/실수로 run2바로 시작.스티커주려고 했는데ㅠ/recog너무 대충함.왼쪽오른쪽 헷갈리게</t>
  </si>
  <si>
    <t>재밌었어요</t>
  </si>
  <si>
    <t>ani:몰라요/loc:몰라요</t>
  </si>
  <si>
    <t>x</t>
  </si>
  <si>
    <t>encoding때도 distracted (무릎에 모기퇴치)</t>
  </si>
  <si>
    <t>IRB동의서 때 아직 어려서 한글 단어뜻 잘 모르는것 관찰/run2-4부터 주의력 떨어짐.다리에 붙어있는 모기 패치뗐다 붙이느라 encoding화면 안 보고 있는때 많음</t>
  </si>
  <si>
    <t>practice때 단어 나올때 큰 소리로 말해서 작은 목소리로 말하라고 함.자꾸 화면 터치해서 pink의 키보드가 올라옴.그래서인지 실제코드 다 끝나고 디버깅모드?에러가 쫘르르 나옴/run2,3에서 몬스터 바꾸지 않고 강조되는거 그대로 선택하는 모습/단어 나올때 소리내며 따라읽음/run4헤드폰 내려온다고 encoding제대로 x/run3-trial1 encoding때 다리에 붙은 모기스티커만진다고 encoding제대로 못했을듯 +run 4도</t>
  </si>
  <si>
    <t>재밌다고 함</t>
  </si>
  <si>
    <t>질문x</t>
  </si>
  <si>
    <t>단어 맞추기할때는 단어 나오는거 소리내 읽으며 거기에만 집중함</t>
  </si>
  <si>
    <t>찍지않고 오래고민</t>
  </si>
  <si>
    <t>재미/띄엄/비슷</t>
  </si>
  <si>
    <t>ani:번호/loc:선으로</t>
  </si>
  <si>
    <t>ani:1번/loc:모서리</t>
  </si>
  <si>
    <t>방해는 X 머릿속으로 그려왔다</t>
  </si>
  <si>
    <t>603 &amp; 604 지인</t>
  </si>
  <si>
    <t>3번 run졸아서 못함-랜덤응답</t>
  </si>
  <si>
    <t>4.소리</t>
  </si>
  <si>
    <t>ani:몬스터 색깔이 비슷한거 끼리/여름색,좋아하는색 동물을 선택하려고 했다./loc:손으로 짚어서</t>
  </si>
  <si>
    <t>몬스터도 외우려고</t>
  </si>
  <si>
    <t>틀려도 돼요?라고 물어봄.조용히 열심히함</t>
  </si>
  <si>
    <t>재미있었어요./소리다름.몬스터나올때마다다름/벽 도움X</t>
  </si>
  <si>
    <t>ani:구멍먼저 기억하고 몬스터/loc:밑에서 손으로</t>
  </si>
  <si>
    <t>빨간털&amp;cnt2/오른쪽 위쪽 모서리 나올때 쉽대</t>
  </si>
  <si>
    <t>몬스터기억.단어기억x</t>
  </si>
  <si>
    <t>run2부터 착용</t>
  </si>
  <si>
    <t>한국에서 살다가 중국으로 가서 한국어 미숙. 아버지가 instruction 통역해주심. /통역,아이 이해 체크하느라 정신 없어서 헤드폰 run1처음엔 착용하지 못함</t>
  </si>
  <si>
    <t>run encoding 때 헤드폰 미착용-&gt;run2부터 착용/instruction이해 후에는 몬스터,위치 잘 기억하고 응답!</t>
  </si>
  <si>
    <t>괜찮았어요/모르겠다함/모르겠다함</t>
  </si>
  <si>
    <t>ani:손으로 가르키고 손/loc:손 움직이며 기억.입으로 중얼중얼</t>
  </si>
  <si>
    <t>솜사탕 기억 쉬움-&gt;예뻐서</t>
  </si>
  <si>
    <t>단어만 계속했다.</t>
  </si>
  <si>
    <t>미국에서 살다와서 한국어가 어색할 수 있다함(practice에서 단어과제 잘하는지 학인해서 문제는 없을 듯)/set1을 입력하지 않고 돌렸습니다.</t>
  </si>
  <si>
    <t>집중을 잘한다.</t>
  </si>
  <si>
    <t>바운더리에 따라 달라서</t>
  </si>
  <si>
    <t>loc:손으로 위치 그리면서</t>
  </si>
  <si>
    <t>4잘외워짐,1안외워짐</t>
  </si>
  <si>
    <t>둘다 외우려고</t>
  </si>
  <si>
    <t>504 &amp; 505 친구</t>
  </si>
  <si>
    <t>곧잘 배워서 함/마지막 trial눈 비비면서 봄</t>
  </si>
  <si>
    <t>재밌었어요/contect2에 따라 노래 달라짐.context2에서 노래 달라짐/벽도움됨/벽 도움됨나눠서 기억하게 좋음</t>
  </si>
  <si>
    <t>ani:방법은 X/loc:방법X,몬스터들이 나올때 색 활용</t>
  </si>
  <si>
    <t>빨간색1번,오른쪽 왼쪽가에 location에 많이 나옴</t>
  </si>
  <si>
    <t>둘다 맞추려고 함</t>
  </si>
  <si>
    <t>504 &amp; 505 친구, 친구 아버지와 와서 동의서는 대신 서명해주시고 양육자 설문은 안 함</t>
  </si>
  <si>
    <t>재밌었어요/아니요/도움이 됐어요</t>
  </si>
  <si>
    <t>ani:나오는거 먼저 기억했어요/loc:나오는대로 보고,기억하고 골라서 버튼 눌렀어요.</t>
  </si>
  <si>
    <t>무지개 병처럼 똑같았어요./왼쪽 밑,모서리</t>
  </si>
  <si>
    <t>몬스터 생각했어요. ox누르면서 몬스터 생각을 했어요.</t>
  </si>
  <si>
    <t>603 &amp; 604 쌍둥이</t>
  </si>
  <si>
    <t>(단어)게임을 이해한것 같지않다/-practice에서 여러차례 돌아가 설명했지만(집중하기 어려워했고),단어게임은 충분히 이해하지 못한 것 같다/-왜냐하면,단어들이 제시될때 계속 버튼을 누르면서 얘는 o, 얘는 x라고 임의로 판단했고 실제 수행도 우연에 가깝게 함."후라이팬을 어떻게 가져가"/-비교적 run2,3에서는 www task를 집중해서, 본것과 관련있는 캐릭터를 골랐다./-하지만 비슷한 캐릭터를 반복해서 고르는 걸 보아, 순설르 맞춰했는지 의심될때가 있었다.</t>
  </si>
  <si>
    <t>2번질문:똑같았다</t>
  </si>
  <si>
    <t>ani:색깔,loc:-</t>
  </si>
  <si>
    <t>2번캐릭터 기억O,4번 캐릭터 기억X</t>
  </si>
  <si>
    <t>1st trial 처음에 실수로 잘 못 고른듯</t>
  </si>
  <si>
    <t>재밌었어요/소리 같음/울타리 없어요./방해됨-&gt;울타리 막아서 못 갈 줄 알고 불안한게 보편</t>
  </si>
  <si>
    <t>ani:몬스터 첫번째 할때가 젤 생각남</t>
  </si>
  <si>
    <t>1,4,5가 context2여기 나올때 쉬움</t>
  </si>
  <si>
    <t>순서 위치 기억하려고 함</t>
  </si>
  <si>
    <t>0000</t>
  </si>
  <si>
    <t>0000</t>
    <phoneticPr fontId="1" type="noConversion"/>
  </si>
  <si>
    <t>0100</t>
    <phoneticPr fontId="1" type="noConversion"/>
  </si>
  <si>
    <t>1000</t>
    <phoneticPr fontId="1" type="noConversion"/>
  </si>
  <si>
    <t>10000000</t>
    <phoneticPr fontId="1" type="noConversion"/>
  </si>
  <si>
    <t>00100000</t>
    <phoneticPr fontId="1" type="noConversion"/>
  </si>
  <si>
    <t>0111</t>
    <phoneticPr fontId="1" type="noConversion"/>
  </si>
  <si>
    <t>00011111</t>
    <phoneticPr fontId="1" type="noConversion"/>
  </si>
  <si>
    <t>00000000</t>
  </si>
  <si>
    <t>00000000</t>
    <phoneticPr fontId="1" type="noConversion"/>
  </si>
  <si>
    <t>11000000</t>
    <phoneticPr fontId="1" type="noConversion"/>
  </si>
  <si>
    <t>김단아</t>
  </si>
  <si>
    <t>유현정</t>
  </si>
  <si>
    <t>010-3577-4584</t>
  </si>
  <si>
    <t>HS+touch+초록아이패드</t>
  </si>
  <si>
    <t>박유찬</t>
  </si>
  <si>
    <t>김윤정</t>
  </si>
  <si>
    <t>010-3372-0311</t>
  </si>
  <si>
    <t>박리아</t>
  </si>
  <si>
    <t>박종훈</t>
  </si>
  <si>
    <t>010-2880-2724</t>
  </si>
  <si>
    <t>HJA</t>
  </si>
  <si>
    <t>김시윤</t>
  </si>
  <si>
    <t>김병조</t>
  </si>
  <si>
    <t>010-5149-7344</t>
  </si>
  <si>
    <t>정시후</t>
  </si>
  <si>
    <t>구경자</t>
  </si>
  <si>
    <t>010-9921-7531</t>
  </si>
  <si>
    <t>임단엘</t>
  </si>
  <si>
    <t>유수린</t>
  </si>
  <si>
    <t>010-3290-4523</t>
  </si>
  <si>
    <t>이루아</t>
  </si>
  <si>
    <t>레베카</t>
  </si>
  <si>
    <t>010-9848-7889</t>
  </si>
  <si>
    <t>Yoga + JC ipad 촬영</t>
  </si>
  <si>
    <t>Control로 practice &amp; run1 하고 이걸로 다시 함 reject 고려대상</t>
    <phoneticPr fontId="1" type="noConversion"/>
  </si>
  <si>
    <t>강라움</t>
  </si>
  <si>
    <t>조문정</t>
  </si>
  <si>
    <t>010-7120-5038</t>
  </si>
  <si>
    <t>yoga+pad</t>
  </si>
  <si>
    <t>김사랑</t>
  </si>
  <si>
    <t>장이슬</t>
  </si>
  <si>
    <t>010-2967-3523</t>
  </si>
  <si>
    <t>이유주</t>
  </si>
  <si>
    <t>우정화</t>
  </si>
  <si>
    <t>010-2666-3993</t>
  </si>
  <si>
    <t>pink+phone</t>
  </si>
  <si>
    <t>장윤호</t>
  </si>
  <si>
    <t>이정민</t>
  </si>
  <si>
    <t>010-3268-4568</t>
  </si>
  <si>
    <t>CSE</t>
  </si>
  <si>
    <t>white+s1</t>
  </si>
  <si>
    <t>장윤아</t>
  </si>
  <si>
    <t>KH</t>
  </si>
  <si>
    <t>hs+phone</t>
  </si>
  <si>
    <t>박시우</t>
  </si>
  <si>
    <t>박소은</t>
  </si>
  <si>
    <t>010-5149-3984</t>
  </si>
  <si>
    <t>박서윤</t>
  </si>
  <si>
    <t>박민우</t>
  </si>
  <si>
    <t>010-3261-2240</t>
  </si>
  <si>
    <t>CJY</t>
  </si>
  <si>
    <t>4key</t>
  </si>
  <si>
    <t>차준서</t>
  </si>
  <si>
    <t>홍가영</t>
  </si>
  <si>
    <t>010-6242-8422</t>
  </si>
  <si>
    <t>BH</t>
  </si>
  <si>
    <t>White</t>
  </si>
  <si>
    <t>현장모객</t>
  </si>
  <si>
    <t>김서윤</t>
  </si>
  <si>
    <t>박주연</t>
  </si>
  <si>
    <t>010-7106-4371</t>
  </si>
  <si>
    <t>KSH</t>
  </si>
  <si>
    <t>최하선</t>
  </si>
  <si>
    <t>구세나</t>
  </si>
  <si>
    <t>010-5524-2215</t>
  </si>
  <si>
    <t>장유건</t>
  </si>
  <si>
    <t>이성싱</t>
  </si>
  <si>
    <t>010-5189-6829</t>
  </si>
  <si>
    <t>LYJ</t>
  </si>
  <si>
    <t>Pink</t>
  </si>
  <si>
    <t>김민하</t>
  </si>
  <si>
    <t>김진철</t>
  </si>
  <si>
    <t>010-2778-5745</t>
  </si>
  <si>
    <t>이다온</t>
  </si>
  <si>
    <t>김희영</t>
  </si>
  <si>
    <t>010-7142-0898</t>
  </si>
  <si>
    <t>반채원</t>
  </si>
  <si>
    <t>김정은</t>
  </si>
  <si>
    <t>010-2639-2877</t>
  </si>
  <si>
    <t>송지오</t>
  </si>
  <si>
    <t>송승환</t>
  </si>
  <si>
    <t>010-9099-8619</t>
  </si>
  <si>
    <t>박제이</t>
  </si>
  <si>
    <t>정현</t>
  </si>
  <si>
    <t>010-2942-3984</t>
  </si>
  <si>
    <t>1</t>
    <phoneticPr fontId="1" type="noConversion"/>
  </si>
  <si>
    <t>아이컨디션 안좋았음</t>
    <phoneticPr fontId="1" type="noConversion"/>
  </si>
  <si>
    <t>0001</t>
    <phoneticPr fontId="1" type="noConversion"/>
  </si>
  <si>
    <t>강예준</t>
  </si>
  <si>
    <t>강태욱</t>
  </si>
  <si>
    <t>010-2000-2495</t>
  </si>
  <si>
    <t>103, 104 쌍둥이 / 분당서울대병원 인지발달관련 진료 경험있음 / ASD 진단 받았음. 약 먹음. 눈에띄는 행동적인 특징 X</t>
  </si>
  <si>
    <t>강지윤</t>
  </si>
  <si>
    <t>강병호</t>
  </si>
  <si>
    <t>010-3084-0621</t>
  </si>
  <si>
    <t>강소윤</t>
  </si>
  <si>
    <t>김유현</t>
  </si>
  <si>
    <t>010-3085-0621</t>
  </si>
  <si>
    <t>유하린</t>
  </si>
  <si>
    <t>윤연경</t>
  </si>
  <si>
    <t>010-9317-1180</t>
  </si>
  <si>
    <t>정다온</t>
  </si>
  <si>
    <t>정수민</t>
  </si>
  <si>
    <t>010-3976-7891</t>
  </si>
  <si>
    <t>3key+knob</t>
  </si>
  <si>
    <t>이다윤</t>
  </si>
  <si>
    <t>이현배</t>
  </si>
  <si>
    <t>010-4675-4424</t>
  </si>
  <si>
    <t>403, 404 쌍둥이</t>
  </si>
  <si>
    <t>이다현</t>
  </si>
  <si>
    <t>김윤지</t>
  </si>
  <si>
    <t>010-3433-0417</t>
  </si>
  <si>
    <t>박준우</t>
  </si>
  <si>
    <t>010-4616-3321</t>
  </si>
  <si>
    <t>김시온</t>
  </si>
  <si>
    <t>김윤석</t>
  </si>
  <si>
    <t>010-8150-7312</t>
  </si>
  <si>
    <t>01000000</t>
    <phoneticPr fontId="1" type="noConversion"/>
  </si>
  <si>
    <t>0111</t>
    <phoneticPr fontId="1" type="noConversion"/>
  </si>
  <si>
    <t>00111111</t>
    <phoneticPr fontId="1" type="noConversion"/>
  </si>
  <si>
    <t>00000000</t>
    <phoneticPr fontId="1" type="noConversion"/>
  </si>
  <si>
    <t>00001100</t>
    <phoneticPr fontId="1" type="noConversion"/>
  </si>
  <si>
    <t>00000011</t>
    <phoneticPr fontId="1" type="noConversion"/>
  </si>
  <si>
    <t>00001111</t>
    <phoneticPr fontId="1" type="noConversion"/>
  </si>
  <si>
    <t>정연우</t>
  </si>
  <si>
    <t>정호일</t>
  </si>
  <si>
    <t>010-3025-8771</t>
  </si>
  <si>
    <t>임서연</t>
  </si>
  <si>
    <t>서효원</t>
  </si>
  <si>
    <t>010-6437-8710</t>
  </si>
  <si>
    <t>이민우</t>
  </si>
  <si>
    <t>이석곤</t>
  </si>
  <si>
    <t>010-4744-0046</t>
  </si>
  <si>
    <t>301&amp;304 형제</t>
  </si>
  <si>
    <t>김태원</t>
  </si>
  <si>
    <t>구소라</t>
  </si>
  <si>
    <t>010-9797-9967</t>
  </si>
  <si>
    <t>주의집중x? 말 많음. -&gt; reject subj 고려하기 / adhd 점수 확인하기</t>
  </si>
  <si>
    <t>윤채원</t>
  </si>
  <si>
    <t>윤성우</t>
  </si>
  <si>
    <t>010-2433-9771</t>
  </si>
  <si>
    <t>성시우</t>
  </si>
  <si>
    <t>엄수진</t>
  </si>
  <si>
    <t>010-7184-3904</t>
  </si>
  <si>
    <t>우지혜</t>
  </si>
  <si>
    <t>010-8031-7972</t>
  </si>
  <si>
    <t>한시율</t>
  </si>
  <si>
    <t>최혜리</t>
  </si>
  <si>
    <t>010-9282-3595</t>
  </si>
  <si>
    <t>조유은</t>
  </si>
  <si>
    <t>오지혜</t>
  </si>
  <si>
    <t>010-5913-9478</t>
  </si>
  <si>
    <t>104, 105 자매</t>
  </si>
  <si>
    <t>조은솔</t>
  </si>
  <si>
    <t>조성일</t>
  </si>
  <si>
    <t>010-5912-9478</t>
  </si>
  <si>
    <t>trial_reject</t>
    <phoneticPr fontId="1" type="noConversion"/>
  </si>
  <si>
    <t>본 task부터</t>
  </si>
  <si>
    <t>, 양손으로 포인팅</t>
  </si>
  <si>
    <t>run 2 단어ox퀴즈에서 '선인장' 실수했다고 함.</t>
  </si>
  <si>
    <t>set 9</t>
  </si>
  <si>
    <t>/컸다 작아졌다, 음의 높낮이/울퉁불퉁</t>
  </si>
  <si>
    <t>몬스터:모양 자체를 기억, 위치: 몬스터와 위치 통째로 기억했다.</t>
  </si>
  <si>
    <t>1번, 붙어있을 때</t>
  </si>
  <si>
    <t>다른 곳에 기억해뒀다.</t>
  </si>
  <si>
    <t>set 2</t>
  </si>
  <si>
    <t>/소리가 각 방 중간에 바뀜,두 배경 중 하나는 벽돌따라 소리가 달랐고, 하나는 똑같았다./가운데 벽이 있었고, 방해되었다.</t>
  </si>
  <si>
    <t>몬스터: 이름을 붙임(뚱뚱이, 사람 이름 등), 위치: 거의 기억나는 대로 전략없이</t>
  </si>
  <si>
    <t>단어만 기억하려고 함</t>
  </si>
  <si>
    <t>set12</t>
  </si>
  <si>
    <t>이해력이 좋음/단어 입으로 중얼중얼 외움/단어 응답 어떻게 해야하는지 확실히 이해하고 있는 듯/집중력이 좋음/EM은 순서를 헷갈리는 경향이 있는듯/마지마엔 좀 지친 것 같다.</t>
  </si>
  <si>
    <t>3점만큼 재밌었다./갈색 배경에서 몬스터가 나올 때마다 바뀜, 초록색은 계속 같은 소리가 났다./벽 기억 못함, 다른 거 없었다.</t>
  </si>
  <si>
    <t>몬스터:(코딩시트를 유추해보면)몬스터에 특징을 부여한 듯. 예를 들어 5번 몬스터는 만두 친구/전반적으로 외우고 기억나는 대로 했고, 특별한 전략은 없는 듯.</t>
  </si>
  <si>
    <t>(영상 참고), 5번 몬스터를 만두 친구로 말하면서 잘 기억난다고 말함.</t>
  </si>
  <si>
    <t>단어는 그림으로 외움/앞에 본 몬스터 영상을 계속해서 기억하려고 했음, 몬스터 기억하는 게 단어보다 어려웠다고 했음</t>
  </si>
  <si>
    <t>set 5</t>
  </si>
  <si>
    <t>떠올리기 할 때 손으로 짚으면서 확인받으려고 함</t>
  </si>
  <si>
    <t>/ / 벽이 있으니까 더 어려웠다</t>
  </si>
  <si>
    <t>몬스터:x, 위치: 손으로 따라 그리면서</t>
  </si>
  <si>
    <t>3번 몬스터, 오른쪽 위 구멍</t>
  </si>
  <si>
    <t>계속 기억, 잔디밭 보니까 기억</t>
  </si>
  <si>
    <t>1 run 2 trial 두세번째 몬스터 순서 바꼈다고 말함</t>
  </si>
  <si>
    <t>set 7, 본 task 한 run을 new condition으로 함, 한 세트 끝나고 교체</t>
  </si>
  <si>
    <t>각 몬스터 특징지음(솜사탕, 레인보우, 빨강이, 만두 모양 등), 위치는 삼각형-&gt; 삼각지대, 70도 90도 등 으로 외우기도?/ 1 run 2 trial 두세번째 몬스터 순서 바꼈다고 말함. ox도 실수하면 바로 틀렸다고 말함/단어 말하면서 퀴즈 함. 물체 한 번씩 읽으면서</t>
  </si>
  <si>
    <t>/여자 목소리, 똑같다/(벽) 칸을 나눠줘서 도움이 됐다.</t>
  </si>
  <si>
    <t>몬스터: 색과 모양으로 이름 붙여서 기억/위치: 삼각형 그리면서, 일자면 벽 기준으로 나눠서 기억</t>
  </si>
  <si>
    <t>만두, 솜사탕, 무지개. 색이 비슷해서 헷갈렸다. 빨강이 기억하기 쉬움</t>
  </si>
  <si>
    <t>ox 말로 말하면서 기억, 몬스터들은 기억, 생각으로 함</t>
  </si>
  <si>
    <t>4 run 마지막에서 몬스터 순서 바뀜</t>
  </si>
  <si>
    <t>set 10</t>
  </si>
  <si>
    <t>물건 ox 할 때 작게 말하면서 외움, 실수하고 바로 혼잣말로 정정함/4 run 마지막에서 몬스터 순서 바뀜</t>
  </si>
  <si>
    <t>/음악 o, 달라짐, 3~5 웽웽웽, 2는 둘 다 나오고, 1은 뚜뚜 하는 소리</t>
  </si>
  <si>
    <t>몬스터: 제일 싫은(무지개), 제일 좋은(파랑, 컵 모양)/위치: 삼각형 그리기, 일직선 그리기</t>
  </si>
  <si>
    <t>벽 한쪽에 나왔을 때, 삼각형 아니면 일직선</t>
  </si>
  <si>
    <t>ox에만 집중, 고를 땐 기억</t>
  </si>
  <si>
    <t>어려워함</t>
  </si>
  <si>
    <t>set 4</t>
  </si>
  <si>
    <t>단어 퀴즈-&gt; 단어 말고 그림 보고 맞춤, recognition 반응 속도 느림</t>
  </si>
  <si>
    <t>재밌었어요/둘이 소리 다름/배경 다름, 돌맹이, 도움이 됨</t>
  </si>
  <si>
    <t>몬스터, 위치: 재밌었어요</t>
  </si>
  <si>
    <t>4, 5, 2 잘 기억남</t>
  </si>
  <si>
    <t>몬스터에 집중</t>
  </si>
  <si>
    <t>/ 안바뀜, 같았음./벽 없었음</t>
  </si>
  <si>
    <t>몬스터: 그냥 봤어요/위치: 계속 생각하다보니 외워짐</t>
  </si>
  <si>
    <t>4번이 기억하기 쉽고, 위치는 비슷하다.</t>
  </si>
  <si>
    <t>몬스터 기억하려고 했다. 속으로 생각함.</t>
  </si>
  <si>
    <t>아이 컨디션이 안 좋아서 run 3까지만 함. 부모님 말씀으로는 ADHD 성향이 있다고.</t>
  </si>
  <si>
    <t>set 7, 3 run 까지만 함</t>
  </si>
  <si>
    <t>계속 중얼거리는 편, 1 run 2 trial에서 코카콜라로 고름, 기억 잘 안 난다고 말함./단어 맞추기에서 몬스터가 이걸 어떻게 가져가냐고 계속 말함.</t>
  </si>
  <si>
    <t>/ 소리가 안 달라요/구멍만 달라요.</t>
  </si>
  <si>
    <t>몬스터: 멍때리고 봤다./위치: 그냥 찍었다.</t>
  </si>
  <si>
    <t>더 기억이 잘 나는 몬스터는 없다. 위치도 순서도 마지막에는 찍었다.</t>
  </si>
  <si>
    <t>ox만 집중</t>
  </si>
  <si>
    <t>괜찮았어요/두 방 다름, 몬스터마다 다른 소리, 방해됨/예시 그림과 같음, 벽 도움됨.</t>
  </si>
  <si>
    <t>몬스터:뿔 개수로/위치: 선을 이어서 도형으로</t>
  </si>
  <si>
    <t>몬스터에 집중하려고 했으나 ox에 집중하게 됨.</t>
  </si>
  <si>
    <t>set 8</t>
  </si>
  <si>
    <t>(코딩시트에 적힌 게 너무 없음)</t>
  </si>
  <si>
    <t>도움된다.</t>
  </si>
  <si>
    <t>위치: 머리로 순서 따라가면서</t>
  </si>
  <si>
    <t>다섯 번 째 몬스터</t>
  </si>
  <si>
    <t>단어만 집중함</t>
  </si>
  <si>
    <t>interference 하나만 입력하는 느낌(o 또는 x)</t>
  </si>
  <si>
    <t>/ 초록색 2, 카키색 1/카키색 가운데에 뭐가 있었다. 초록색은 기억 안 남.</t>
  </si>
  <si>
    <t>몬스터:열심히 봄/위치: 나왔던 구멍에 집중</t>
  </si>
  <si>
    <t>inctruction때 졸려함, 하품.</t>
  </si>
  <si>
    <t>set 9, run 2 중간에 matlab 꺼짐, continue</t>
  </si>
  <si>
    <t>기억하기-떠올리기 때 엄청 집중(머리 쥐어짜고, 관자놀이 두드리고), 기억 못하면 엄청 괴로워함</t>
  </si>
  <si>
    <t>/ 북소리?/도움이 됨.</t>
  </si>
  <si>
    <t>몬스터: 색깔로/위치: 번호 매겨서</t>
  </si>
  <si>
    <t>3, 4, 5번이 기억 잘 남</t>
  </si>
  <si>
    <t>몬스터를 계속 기억하려고 함. 말로</t>
  </si>
  <si>
    <t>4 run 하기 전에 그만함</t>
  </si>
  <si>
    <t>set 8, zoom 녹화 연습게임(설명) 중간에 시작함</t>
  </si>
  <si>
    <t>/ 소리 바뀜/ 방 바뀜, 벽이 기억에 영향 x</t>
  </si>
  <si>
    <t>몬스터, 위치 모두 생각만 함. 전략x</t>
  </si>
  <si>
    <t>1번 몬스터 기억하기 쉬웠음</t>
  </si>
  <si>
    <t>몬스터를 기억하려고 함</t>
  </si>
  <si>
    <t>practice 단어퀴즈부터</t>
  </si>
  <si>
    <t>(기입x), 양손으로 포인팅</t>
  </si>
  <si>
    <t>단어 되뇌이면서 몬스터 잘 외움, 답 할 때도 '~나왔었고, ~안 나왔었고'/너무 어려워서 그만하고 싶어하는데 잘함, 잘 하고 싶은 의욕이 많음</t>
  </si>
  <si>
    <t>귀가 눌려서 아팠다, 게임은 힘들면서도 재밌었다./목소리는 같았다. 방 소리는 몰랐다/가운데 벽은 훨씬 도움이 되었다.</t>
  </si>
  <si>
    <t>몬스터: 선호도로 기억, 모양(컵 모양 등)으로 기억/위치: 왼쪽과 오른쪽, 벽 기준으로 나눠서 기억함</t>
  </si>
  <si>
    <t>빨간 먼지 + 다 비슷한 위치일 때</t>
  </si>
  <si>
    <t>ox는 대충 기억하고, 몬스터는 어려워서 열심히 기억했다.</t>
  </si>
  <si>
    <t>단어 맞추기 50% 확률로 답을 안(못) 함.</t>
  </si>
  <si>
    <t>어렵다/노래가 있었는데 바뀌진 않았다/예시 그림과 동일했다.</t>
  </si>
  <si>
    <t>몬스터: 특징으로 (컵 모양, 털, 몸집이 큰, 파랑, 솜사탕)/위치: 손으로 위치를 생각</t>
  </si>
  <si>
    <t>1번과 5번, 생긴 모습이 독특해서/위치는 x</t>
  </si>
  <si>
    <t>set 11</t>
  </si>
  <si>
    <t>/ 소리: 바뀌는 거 모름/배경: 초록색이 더 기억 잘 됨, 벽: 없는게 더 기억이 잘 됨</t>
  </si>
  <si>
    <t>몬스터: 모양으로 기억/위치:구멍 크기가 다른 것 같았음</t>
  </si>
  <si>
    <t>5번 몬스터</t>
  </si>
  <si>
    <t>단어에 집중</t>
  </si>
  <si>
    <t>set 6</t>
  </si>
  <si>
    <t>연습게임 어려워함</t>
  </si>
  <si>
    <t>재밌었어요/소리는 똑같았어요/배경도 똑같았어요</t>
  </si>
  <si>
    <t>몬스터: 색으로 기억/위치: 그냥 본대로 기억</t>
  </si>
  <si>
    <t>2번 몬스터가 솜사탕 같아서 쉬웠다. 위치는 특별히 잘 기억나는 것은 없었다.</t>
  </si>
  <si>
    <t>몬스터 순서와 위치를 계속 기억하려고함</t>
  </si>
  <si>
    <t>set 7</t>
  </si>
  <si>
    <t>단순 선호도 잘 못 고르는 편이라고 함. 척척박사님으로 고름./단어 소리내어 읽으면서 외움/몬스터 대각선으로 나올 때 "빙고처럼 되어있네?"라고 함, 빙고 선 유사할 때 위치는 기억하고 순서는 반반. run 4 마지막 trial 기억하기랑 단어 시작 전 터치스크린에 뭐 떠서 10초 정도 지연됨.</t>
  </si>
  <si>
    <t>너무 힘들었어요. 귀에 계속 차고 있어서 땀이 났어요./소리 달라지지 x /(벽 질문)좋았어요.</t>
  </si>
  <si>
    <t>몬스터: 선호도, 위치: 빙고 모양, 손으로 그리면서</t>
  </si>
  <si>
    <t>동그란 애가 계속 나와서/빙고 모양일 때</t>
  </si>
  <si>
    <t>단어는 너무 쉬워.단어만 생각함. 몬스터는 계속 생각</t>
  </si>
  <si>
    <t>set 9, 연습을 999로 해버림(데이터 이름 수정 완료), 본 게임부턴 제대로 기입함.</t>
  </si>
  <si>
    <t>의욕 넘침, 잘 외우려고 하고 이해도 잘 함./run 1 trial 2 단어 퀴즈 때 헤드폰 불편해서 살짝 집중 못했을 수도/입으로 되뇌임, 손으로도 위치를 따라가려 함./run 2 trial 1 단어 '칫솔' 잘못 선택함./run 3 trial 2부터 고민을 많이 하긴 함, 하지만 끝까지 잘 해냄.</t>
  </si>
  <si>
    <t>헷갈림, 모양이랑 순서, 단어까지 다 외워야해서/노래o 방마다 다른 노래가 들림, 방 중간엔 안 바뀜. 노래엔 아무 생각이 없음(그래서 잘 안 들렸다)/벽이 있었고, 도움이 된다. 3개씩 묶었다</t>
  </si>
  <si>
    <t>몬스터: 모양 별 특징(2번 길쭉, 3번 동글) 말과 기억으로 되뇌임./위치: 구멍을 딱 보니까 기억이 남. 손으로 따라감</t>
  </si>
  <si>
    <t>3번 동글이. 특이해서. 모양과 색이 쉽게 생겨서 다 기억이 잘 났음. /제일 끝 구멍에서 나올 때 기억이 잘 남.</t>
  </si>
  <si>
    <t>둘 다 외우려고 함.</t>
  </si>
  <si>
    <t>(기입x), 오른손인듯/양손으로 포인팅</t>
  </si>
  <si>
    <t>재밌어요/소리 두 방 소리 다름/벽은 있는 게 도움 됨.</t>
  </si>
  <si>
    <t>몬스터: 색깔/위치: 마음속으로 선 그어서</t>
  </si>
  <si>
    <t>3번 동그란 몬스터/초록 배경 왼쪽 제일 위 구멍</t>
  </si>
  <si>
    <t>단어만 외움</t>
  </si>
  <si>
    <t>run 1 trial 2 단어 게임에서 수박 x로 답하려다가 o로 잘못 누름/정자세로 의젓하게 집중 잘 함. 지루해하지 않고 오래 집중 잘 함./ run 4 trial 1 단어게임 마지막 x 누름과 동시에 타임오버 돼서 안 눌림.</t>
  </si>
  <si>
    <t>소리는 방마다 바뀜, 중간에는 안 바뀜/배경은 바뀌는데 기억엔 상관x/벽은 있을 때 기억이 잘 남.</t>
  </si>
  <si>
    <t>딱히 없음</t>
  </si>
  <si>
    <t>몬스터: 3, 5, 2, 1, 4번째 순서로 기억 잘 남./위치나 순서는 x</t>
  </si>
  <si>
    <t>단어 게임에만 집중</t>
  </si>
  <si>
    <t>지루했음/두 방 소리 다름, context 2 소리 두 개/가운데 벽 있음, 방해됨</t>
  </si>
  <si>
    <t>몬스터: 명칭, 써서/위치: 그냥</t>
  </si>
  <si>
    <t>1번몬스터 기억 잘 남</t>
  </si>
  <si>
    <t>set 1</t>
  </si>
  <si>
    <t>WM 잘못 누르는 경우 있는데, 어차피 착각해서 오답 누르는거라 오답처리해도 무방할 듯</t>
  </si>
  <si>
    <t>재밌어요/다른소리/벽 있는 게 도움됨</t>
  </si>
  <si>
    <t>몬스터:몸집 크기(크거나 작거나)/위치: 벽 기준으로 왼오</t>
  </si>
  <si>
    <t>몬스터: (아마 4번) 초록파랑 복실복실한 몬스터/위치: 초록(풀색x) 배경, 돌산 아래 왼쪽</t>
  </si>
  <si>
    <t>같이 기억, 단어는 쉬워서 기억 안해도 됨.</t>
  </si>
  <si>
    <t>일반 선호도 1번 몬스터 너무 귀여워라고 답 함/(아마 5번, 형형색색에 밑에 둥글고 위에 물결모양) 몬스터 보고 컵케잌이라고 함</t>
  </si>
  <si>
    <t>재밌었어요/몬스터만 봐서 소리 몰라요/벽 없는 게 더 좋았다.</t>
  </si>
  <si>
    <t>몬스터:생각나는대로, 컵케이크, 초록색, 그냥 귀여운 애 등/위치: 생각나는 대로</t>
  </si>
  <si>
    <t>몬스터: 3번-귀여운, 4번-초록, (아마 5번)-컵케이크</t>
  </si>
  <si>
    <t>머릿속에서 열심히 그렸다. 맨 마지막에 더 어려움</t>
  </si>
  <si>
    <t>몬스터는 빨리 고르는데, 위치는 살짝 번복함/단어퀴즈: 준비되면 o버튼 살짝 헷갈리는 듯, run 2부턴 혼자 잘 누름./run 2 trial 2 머리를 막 싸매던데 외울려고 그러나? 그런데 그것치곤 답을 빨리 누름</t>
  </si>
  <si>
    <t>재밌어음, 어렵진x/노래 인식, 방 안이랑 방 간에 소리 변화 x, 도움됨, 노래가 나오니까 기억이 잘 났다/벽 인식, 도움됨, 벽 기준으로 위치</t>
  </si>
  <si>
    <t>몬스터:x/위치: 모르겠음</t>
  </si>
  <si>
    <t>5번, 알록달록 예뻐서/위치: 왼쪽 맨 끝, 끝에 있어서</t>
  </si>
  <si>
    <t>set 12</t>
  </si>
  <si>
    <t>run 3 trial 1 단어 게임 '미로' o인데 x로 누름</t>
  </si>
  <si>
    <t>재밌었어요/같은 소리인듯, 다른 소리도 있음, 근데 context 1인듯? 불확실함./같은 배경, 벽 도움 된 것 같음</t>
  </si>
  <si>
    <t>없음</t>
  </si>
  <si>
    <t>밑에 둥글고 위에 물결 모양 몬스터(아마 5번)이 context 2에서 왼쪽 위에 나올 때 잘 기억남</t>
  </si>
  <si>
    <t>둘 다 집중</t>
  </si>
  <si>
    <t>오른손/버튼키 양손 조작</t>
  </si>
  <si>
    <t>연습게임 도중 부모님께서 부스 들어오심. 아이 잘 따라하고 있는지 속삭이면서 여쭤보심/run 1 trial 1 단어게임 하나(4번째) 잘못 선택함. trial 1에서 단어게임 반응 속도 느렸음/run 4 trial 1에서 보호자님 들어오심. 아이에게 "아빠 뒤에 있으니까 괜찮아"라고 말하고 나가심(아이 헤드폰 끼고있음)/</t>
  </si>
  <si>
    <t>소리: 바뀌는 거 인지, 게임마다 바뀜, 마지막은 안 바뀜/배경: 바뀌는거 인지, 도움 방해는 상관 없었다/백: 인지, 있을 때 기억 잘 됨</t>
  </si>
  <si>
    <t>몬스터:뿔로 기억/위치: 눈으로 그냥 기억</t>
  </si>
  <si>
    <t>몬스터: 3-2-1-5-4</t>
  </si>
  <si>
    <t>단어게임만</t>
  </si>
  <si>
    <t>run 3에서 중단</t>
  </si>
  <si>
    <t>run 3 중단</t>
  </si>
  <si>
    <t>중간에 재밌었다</t>
  </si>
  <si>
    <t>몬스터: 색깔/위치: 손으로 그림</t>
  </si>
  <si>
    <t>단어 중얼거리며 외움</t>
  </si>
  <si>
    <t>set 3</t>
  </si>
  <si>
    <t>단어 연습: 모르면 아예 안 눌러서+느리게 답해서 답 못한 게 많음. 그래도 이해하고 시작(본 게임은 잘 함)/단어 입으로 중얼+손으로 움켜쥐면서 외움/고민을 많이 함(흐음~), 기억나면(아~!)./run 1 trial 1 전선줄 만지느라 집중 흐려졌을 수도 있음, 가끔 집중력 낮아짐/선택 전에 계속 물어봄(여기요?, 얘요?) 그래서 기억나는대로 해보라고 알려줌/run 2 trial 1 단어:헤드폰 만지느라 답 하나(미끄럼틀) 놓침, 몬스터 선택: 마지막 거 위치 잘못 누름/ run 2 trial 2 단어 마지막꺼 o인데 x로 잘못 누름/run 3 trial 2 단어게임 준비되면 o 버튼-&gt; 너무 길게 눌러서 첫 문제 넘어가버림, 몬스터 선택: 첫 번째랑 두 번째 순서 잘못했다고 함</t>
  </si>
  <si>
    <t>좋았어요, 어렵진x/노래 인지, 방 간, 안에서도 소리 다름, 도움됨./벽 인지 못함</t>
  </si>
  <si>
    <t>몬스터:x/위치: 그냥</t>
  </si>
  <si>
    <t>몬스터: 1번 ,잘 보여요</t>
  </si>
  <si>
    <t>몬스터도 기억</t>
  </si>
  <si>
    <t>연습 단어퀴즈 첫 문제 느리게 답해서 그냥 넘어감/위치는 곧잘하고 몬스터는 둘 중에 고민함, run 갈수록 그냥 전반적으로 고민하는듯/잘못 누르면 피드백 빠름, 똘똘하게 잘 함/ run 1 trial 1 단어퀴즈에서 카테고리 특징 바로 알아냄/run 2 trial 2 (아마 '눈사람') 잘못 누름, 몬스터 첫 번째 선택 잘못했다고 나중에 말해줌/귀에 땀 나서 run 2-3 사이에 살짝 빼고 다시 시작/run 3 trial 1, 2 위치가 선으로 이어지는 모양이라 쉽다고 답함, 손으로 위치 그려서 외움/run 4 trial 1에서 1, 2번 몬스터 순서 바꿔서 답변</t>
  </si>
  <si>
    <t>재밌었어요, 어려운 것도 있었지만, 단어는 쉬움/노래 인식, 몬스터마다 다름, 방 안에서도 다름, 도움됨-신났어요/벽 모름</t>
  </si>
  <si>
    <t>몬스터: 그냥 생각/위치: 따라하면서, 손으로 선</t>
  </si>
  <si>
    <t>몬스터: 2번, 뭔가 특이해서</t>
  </si>
  <si>
    <t>몬스터 조금, 머릿속으로 생각</t>
  </si>
  <si>
    <t>끝까지 집중 잘 하고 대답 잘 함. 전체적으로 몬스터랑 위치 선택에서 왔다갔다 오래 고민함.</t>
  </si>
  <si>
    <t>소리: 바뀌는거 인지, 한 방에서 중간에 바뀜(*중간에는 바뀌었는데 마지막 두 개는 안 바뀜) /배경:바뀌는 거 인지, 초록색 방 기억 잘 됨./벽: 인지, 있을 떄 기억 잘 됨</t>
  </si>
  <si>
    <t>몬스터:모양으로 외움/위치:머릿속에서 선을 그림</t>
  </si>
  <si>
    <t>몬스터: 2-&gt;5번/위치: 왼쪽 상단</t>
  </si>
  <si>
    <t>단어만 집중</t>
  </si>
  <si>
    <t>헤드폰 연결이 잘못 되어있어서 본 task 전 다시 체크하고 시작/대답이 살짝 느리고 작은데, 그냥 쑥쓰러워서 그런 건 아닌 것 같기도 함. 그래도 게임은 잘 이해/준비되면 o 버튼 누르기를 잘 이해하지 못함(run 1). 이후로는 답변 빨리빨리 함/단어퀴즈 중에 허벅지에 손가락으로 위치 찍으면서 기억함(특히 run 3&amp;4)</t>
  </si>
  <si>
    <t>기억하기는 어려웠지만 재미있었다.?노래 있었고, 방마다(게임마다) 소리가 바뀌었다. 방 안에서는 잘 모르겠다./벽 있었고, 암기할 때 벽 기준으로 왼쪽 공간은 왼쪽 다리, 오른쪽 공간을 오른쪽 다리로 두고 외웠다.</t>
  </si>
  <si>
    <t>몬스터: 모양 특징(1번 빨강, 2번 솜사탕, 3번은 좋아하는 등)/위치: 손가락으로 허벅지에 콕콕</t>
  </si>
  <si>
    <t>몬스터: 2번(자신이 붙여준 이름이)제일 쉬워서, 3번은 제일 좋아서/나머지는 딱히</t>
  </si>
  <si>
    <t>몬스터를 제일 많이 집중했다. 손가락으로 포인팅 계속 하면서+몬스터 특징 생각/단어는 그림만 봤다.</t>
  </si>
  <si>
    <t>손이 불편해서 RT 좀 느림(깁스)/ run 1 trial 1 단어 답 늦어서 거의 다 놓침, 이후부터는 ok/run 4 trial 2 단어 제대로 못함. 잘 안 눌려서 놓침</t>
  </si>
  <si>
    <t>재밌었어요/소리 모르겠어요/벽 있는 게 좋았어요</t>
  </si>
  <si>
    <t>몬스터:그냥/위치:아무거나 기억. 생각나는 대로</t>
  </si>
  <si>
    <t>몬스터: '여자애들' 속눈썹 있는 몬스터/배경: 초록 말고 카키색 구멍이 더 잘 숨어서 기억남</t>
  </si>
  <si>
    <t>몬스터도 생각</t>
  </si>
  <si>
    <t>아이가 어린데도 이해도 잘 하고 암기도 좋음/단어는 말하면서 암기, 고개 끄덕이면서+리듬 타면서 답변/run 2까지 헤드폰이 불편해보여서 3 시작 전에 재정비함./run 4몬스터 나오는 음악에 맞춰 리듬타기+몬스터 특징 언급하면서 인코딩/run 4 trial 1단어 과제에서 잘못 누른거(해바라기 전에 나온 단어) 알려주다가 뒤에 단어도 그냥 넘어감</t>
  </si>
  <si>
    <t>재밌었어요/노래 있고, 방끼리 다르진 않았지만 방 중간에 바뀌기도 했다. 어떤 배경에서인지는 잘 모름/가운데 선 있음, 가운데가 잘려있어서 방해됐다.</t>
  </si>
  <si>
    <t>몬스터: 특징 정해서 5번은 컵케이크, 4번은 양 이런 식으로/위치는 x</t>
  </si>
  <si>
    <t>몬스터 전부 다 기억에 잘 났다.</t>
  </si>
  <si>
    <t>다 까먹었다.</t>
  </si>
  <si>
    <t>버튼 계속 막 누름, 헤트셋 작다고 불편해 함/연습 산만함, 못할 것 같다고 나가려고 함./단어게임 말하면서, 답할때도 yes, no 말하면서 함./run 1 끝나고 장난으로 소리지르면서 설명문 읽고 못할 것 같다고 나가려 함./ run 2 trial 1 단어게임 연속해서 막 누름, 버튼 막 누르다가 몬스터 첫 번째꺼 잘못 선택.헤드셋 run 2 trial 1과 2 사이에 벗엇다 낌, 발 튕기면서 함./run 2 끝나고도 소리지르면서 나가겠다 함. 쉬워서 안하고 싶다고 해서 회유함/run 3 trial 1, 2 몬스터 첫 번째 막 고름/run 4 trial 1 단어 첫 번째 막 눌림, trial 2 몬스터 나올 때 웃긴 표정 짓느라 제대로 못 본 듯.</t>
  </si>
  <si>
    <t>소리 중간에 바뀜/배경 카키색이 더 기억 잘 됨./벽 있는 거 아는데 상관 x</t>
  </si>
  <si>
    <t>몬스터: 3번째</t>
  </si>
  <si>
    <t>단어 연습때만 놓치고 본 실험은 잘 함./ run 3 제일 집중 못 함, 이후로 집중력 떨어짐/단어 중얼거리면서 외움</t>
  </si>
  <si>
    <t>재밌었어요/소리 바뀜, 각 방 중간에 바뀜/벽은 모르겠다.</t>
  </si>
  <si>
    <t>몬스터:좋은 순서로/위치: 몰라요</t>
  </si>
  <si>
    <t>몬스터: 3번(동그란 몬스터 말하는 듯)/위치:x</t>
  </si>
  <si>
    <t>단어 게임만</t>
  </si>
  <si>
    <t>리액션 아주 좋음, 이해도 잘 함./단어 되뇌이면서 인코딩/버튼 독수리 타법으로 눌러서 RT 좀 느림/run 1 몬스터 선택에서 계속 같은 몬스터만 누르는 듯 했는데, 이후로는 생각나는대로 잘 누르는 듯/run 2 trial 1 할 때, 주변 소란스러워서 초반에 인코딩 놓침/회상할 때 기억을 적극적으로 함 ex. 비슷한 게 나왔어 같은 말을 하면서, 선택할 때도/run 4 trial 1 몬스터 선택에서 세 번째 시퀀스 위치 선택 잘못함. trial 2 단어 퀴즈 콧물 나와서 중간중간 못 누르거나 잘못 누름(안경, 헬리콥터)</t>
  </si>
  <si>
    <t>재밌었어요/소리 있고, 방들 소리가 다르고 contest 2에서 방 안에서도 소리가 달라짐. 소리가 다르니까 도움이 됨/벽 있었고, 도움이 됨.</t>
  </si>
  <si>
    <t>몬스터: 특징 붙여서 암기(1번은 털복숭이)/위치: 마음대로 했는데 맞았어요</t>
  </si>
  <si>
    <t>몬스터:5번 무지개같이 생겨서</t>
  </si>
  <si>
    <t>의사 표현이 확실한 편(이해 못하면 바로바로 알려줌)/연습단어 하나 잘못눌렀다고 말함/이해 잘 하고 시작/기억하려고 노력 많이 함. 틀리면 피드백 크고 빠름/혼잣말 많이하고 행동도 큼 ex. 아니면 도리도리, 말로도 '하~ 여기같은데', '씁..' 이런 말을 많이함./아주 의욕이 넘치고, 잘하고 싶은 마음이 큼, 잘못 누르면 격하게 도리도리, 살짝 완벽주의인듯?/run 3 trial 1 단어 물고기랑 하나 더 잘못 누름, trial 2 단어 닭 잘못 누름/run 4 trial 2 단어 조끼 잘못 누름</t>
  </si>
  <si>
    <t>괜찮았어요/노래 있음, 방마다 다르고 방 안에서 몬스터가 바뀌면서 노래도 바뀜./벽 있었고, 방해된다. 어려워진다.</t>
  </si>
  <si>
    <t>몬스터:색으로/위치:줄(벽) 기준으로 같은 쪽 다른 쪽</t>
  </si>
  <si>
    <t>몬스터: 4번 색이 많이 없고 작아서/위치: 초록 방에서 왼쪽 맨 끝 2개, 카키 방에서 왼쪽 아래 2개</t>
  </si>
  <si>
    <t>* 연습 matlab 두 번 눌려서 뒤에껀 바로 끔. data 삭제해야 할 수도 . 연습 1번이 진짜</t>
  </si>
  <si>
    <t>준비되면 o 헷갈려해서 연습 때 다시 말해줌/본 task 실행 잘 안돼서 살짝 멈췄다 함./사근사근 잘 하는 편./손으로 테이블 찝으면서 위치 되뇌이는 듯, 가끔씩 뒤를 돌아보긴 하는데 슬쩍 보고 말아서 크게 제지하지는 않음/run 2 trial 2 몬스터 선택 첫 번째 시퀀스 위치 잘못 누름/run 4 trial 1단어 인코딩에서 살짝 집중 흐려진 것 같기도 함.</t>
  </si>
  <si>
    <t>재밌었어요/노래 있었고 방마다 소리 바뀜. 방 안에서도 바뀌는데 context 1에서 바뀐다/벽 인지 못함</t>
  </si>
  <si>
    <t>몬스터:형태로, 1번은 초록 뿔, 3번 반(색이 반반) 등/위치:x</t>
  </si>
  <si>
    <t>몬스터: 3번, 반이라 외우기 쉬움/위치: 카키 오른쪽 맨 위</t>
  </si>
  <si>
    <t>둘 다 기억. 단어가 안 나올 때 몬스터를 봤다..?</t>
  </si>
  <si>
    <t>오른손/버튼키 왼손 조작</t>
  </si>
  <si>
    <t>9살이라 그런가 이해 good, 차분, 조용히 하는 편/한 번씩 긴가민가하면 고개 까딱/손으로 위치 기억(run 3 trial1부터), 떠올리기랑 답변 하면서도 헷갈리면 손으로 다시 포인팅해봄</t>
  </si>
  <si>
    <t>다른 게임보다 쉽고 재밌었다./피아노 소리, 방끼리 비슷했고, 방 안에서 변한 거 같은데 두 방 다 그런 것 같다./벽 있고, 있는게 도움이 됨, 분리된 것 같아서</t>
  </si>
  <si>
    <t>몬스터: 좋아하는 순서+뿔 개수랑 색/위치: 벽 기준으로, 3/3, 손가락으로 체크</t>
  </si>
  <si>
    <t>몬스터: 1번 빼고 나머지가 많이 나왔던 것 같다.</t>
  </si>
  <si>
    <t>손으로 이미 표시해두니까 단어 게임할 땐 별로 신경 x</t>
  </si>
  <si>
    <t>이해 잘 하고, 구멍에 넣고 싶은 몬스터 잘 넣음. 연습 때 단어 선택 잘못하면 도리도리+"아니야"/단어 준비되면 o, 처음엔 틀렸지만 그 이후로 괜찮음/단어 나올 때 말로 되뇌임./run2 trial 3 떠올리기에서 "아무 소리도 안 나는데"라고 말함./본 게임 run2 "너무 쉬운데, 똑같은 것만 나오는데", run3 "언니는 2번쯤 하고 있는 것 같은데"(으쓱), run 4 trial1 버튼 선택 조작을 잘못해서 matlab 화면으로 전환되기도 함(몬스터 선택할 때), 바로 돌려줌, trial 2 컴퓨터에서 윙하는 소리에 민감하게 반응, "어디서 나는 소리지"</t>
  </si>
  <si>
    <t>재밌었어요/소리 달라짐x</t>
  </si>
  <si>
    <t>몬스터:그냥 눈으로 암기/위치:모르겠음</t>
  </si>
  <si>
    <t>몬스터 생각, 그냥 하면서 생각함</t>
  </si>
  <si>
    <t>오후 3:30</t>
  </si>
  <si>
    <t>안소희</t>
  </si>
  <si>
    <t>김나리</t>
  </si>
  <si>
    <t>010-3466-6720</t>
  </si>
  <si>
    <t>503 &amp; 504 자매</t>
  </si>
  <si>
    <t>안소윤</t>
  </si>
  <si>
    <t>함지유</t>
  </si>
  <si>
    <t>홍유리</t>
  </si>
  <si>
    <t>010-3121-1204</t>
  </si>
  <si>
    <t>KJW</t>
  </si>
  <si>
    <t>Yoga+pad</t>
  </si>
  <si>
    <t>103 &amp; 104 자매, 동의서 유라</t>
  </si>
  <si>
    <t>오전 11:30</t>
  </si>
  <si>
    <t>소재윤</t>
  </si>
  <si>
    <t>박은경</t>
  </si>
  <si>
    <t>010-3136-3557</t>
  </si>
  <si>
    <t>현장접수(문자)</t>
  </si>
  <si>
    <t>서하준</t>
  </si>
  <si>
    <t>서욱진</t>
  </si>
  <si>
    <t>010-3458-7090</t>
  </si>
  <si>
    <t>504 &amp; 505 남매</t>
  </si>
  <si>
    <t>오전 10:30</t>
  </si>
  <si>
    <t>양하은</t>
  </si>
  <si>
    <t>김도연</t>
  </si>
  <si>
    <t>010-9320-2327</t>
  </si>
  <si>
    <t>Yoga+ipad</t>
  </si>
  <si>
    <t>이보담</t>
  </si>
  <si>
    <t>이도하</t>
  </si>
  <si>
    <t>010-4999-6174</t>
  </si>
  <si>
    <t>CYR</t>
  </si>
  <si>
    <t>White+tab</t>
  </si>
  <si>
    <t>203, 204 자매</t>
  </si>
  <si>
    <t>김우리</t>
  </si>
  <si>
    <t>이윤정</t>
  </si>
  <si>
    <t>010-2930-4713</t>
  </si>
  <si>
    <t>Pink+YJtab</t>
  </si>
  <si>
    <t>초 3, 쌍둥이인데 자리가 하나밖에 없어서 한 명만 참여</t>
  </si>
  <si>
    <t>이전에 병원에서 뇌파 검사 + 성격검사 등 받은 적이 있음. 어머니꼐서 아이가 사회성도 좀 낮은 문제가 있고 ADHD 직전?의 산만함이 있다고 함. 하지만 TASK 할때 잘 집중해서 해줌</t>
  </si>
  <si>
    <t>한재영</t>
  </si>
  <si>
    <t>김영란</t>
  </si>
  <si>
    <t>010-6441-5399</t>
  </si>
  <si>
    <t>양이헌</t>
  </si>
  <si>
    <t>양재모</t>
  </si>
  <si>
    <t>010-3412-3796</t>
  </si>
  <si>
    <t>동생 이름으로 신청했다가 만 4세라고 했더니 18년생 오빠가 오기로함</t>
  </si>
  <si>
    <t>오후 4:30</t>
  </si>
  <si>
    <t>이시우</t>
  </si>
  <si>
    <t>신애경</t>
  </si>
  <si>
    <t>010-6413-7969</t>
  </si>
  <si>
    <t>백은유</t>
  </si>
  <si>
    <t>황미희</t>
  </si>
  <si>
    <t>010-4040-2860</t>
  </si>
  <si>
    <t>김유안</t>
  </si>
  <si>
    <t>류아림</t>
  </si>
  <si>
    <t>010-2285-0258</t>
  </si>
  <si>
    <t>SJM</t>
  </si>
  <si>
    <t>HS+pad</t>
  </si>
  <si>
    <t>d</t>
  </si>
  <si>
    <t>데이터 없었음</t>
    <phoneticPr fontId="1" type="noConversion"/>
  </si>
  <si>
    <t>정시아</t>
  </si>
  <si>
    <t>김선화</t>
  </si>
  <si>
    <t>010-2670-5216</t>
  </si>
  <si>
    <t>Pink+S4</t>
  </si>
  <si>
    <t>녹화 미동의, 중도 포기시 데이터 사용 미동의</t>
  </si>
  <si>
    <t>오후 2:30</t>
  </si>
  <si>
    <t>황서하</t>
  </si>
  <si>
    <t>이민지</t>
  </si>
  <si>
    <t>010-8936-1829</t>
  </si>
  <si>
    <t>HS+tab</t>
  </si>
  <si>
    <t>홍리안</t>
  </si>
  <si>
    <t>장소연</t>
  </si>
  <si>
    <t>010-2899-8232</t>
  </si>
  <si>
    <t>White+S1</t>
  </si>
  <si>
    <t>김예원</t>
  </si>
  <si>
    <t>천순아</t>
  </si>
  <si>
    <t>010-5700-8750</t>
  </si>
  <si>
    <t>장서진</t>
  </si>
  <si>
    <t>허윤정</t>
  </si>
  <si>
    <t>010-9014-2570</t>
  </si>
  <si>
    <t>이다은</t>
  </si>
  <si>
    <t>이승철</t>
  </si>
  <si>
    <t>010-9386-6779</t>
  </si>
  <si>
    <t>성민아</t>
  </si>
  <si>
    <t>김원영</t>
  </si>
  <si>
    <t>010-9998-9145</t>
  </si>
  <si>
    <t>지루해함 2run 종료 후 중단</t>
  </si>
  <si>
    <t>오후 12:30</t>
  </si>
  <si>
    <t>오서찬</t>
  </si>
  <si>
    <t>오병일</t>
  </si>
  <si>
    <t>010-3355-7357</t>
  </si>
  <si>
    <t>302 &amp; 303 &amp; 304 삼형제</t>
  </si>
  <si>
    <t>박도윤</t>
  </si>
  <si>
    <t>박찬주</t>
  </si>
  <si>
    <t>010-2613-5843</t>
  </si>
  <si>
    <t>[설문조사 중 질문] 약 한 달 정도 전에 크게 다쳐서, 이때의 감정/상태가 그 전의 본인과 매우 다르게 부정적이라고 말씀주심. -&gt; (우리가) 설문 응답 분석시 이 점을 고려해달라고 하심</t>
  </si>
  <si>
    <t>현장접수</t>
  </si>
  <si>
    <t>이성윤</t>
  </si>
  <si>
    <t>이계상</t>
  </si>
  <si>
    <t>010-3682-3648</t>
  </si>
  <si>
    <t>control에 있음 - 코딩시트확인필</t>
  </si>
  <si>
    <t>박서후</t>
  </si>
  <si>
    <t>윤지애</t>
  </si>
  <si>
    <t>010-6330-0619</t>
  </si>
  <si>
    <t>없엄</t>
  </si>
  <si>
    <t>찾음</t>
  </si>
  <si>
    <t>보호자가 동의서 설명 들을 때 결과지에 관심 보임. 실험하면서 계속 리액션함 (몇 개 남았어요? 더 어려워진 것 같은데? 등)</t>
  </si>
  <si>
    <t>김도윤</t>
  </si>
  <si>
    <t>박선영</t>
  </si>
  <si>
    <t>010-7765-1485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</si>
</sst>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23C-CD7D-4923-AB81-BEDCBE58C125}">
  <dimension ref="A1:AH106"/>
  <sheetViews>
    <sheetView tabSelected="1" topLeftCell="A79" zoomScale="70" zoomScaleNormal="70" workbookViewId="0">
      <selection activeCell="D110" sqref="D110"/>
    </sheetView>
  </sheetViews>
  <sheetFormatPr defaultRowHeight="16.5" x14ac:dyDescent="0.3"/>
  <cols>
    <col min="1" max="1" width="19.5" bestFit="1" customWidth="1"/>
    <col min="2" max="2" width="19.5" customWidth="1"/>
    <col min="3" max="3" width="12.5" customWidth="1"/>
    <col min="4" max="4" width="9.5" customWidth="1"/>
    <col min="5" max="5" width="10.375" customWidth="1"/>
    <col min="6" max="6" width="10.125" customWidth="1"/>
    <col min="7" max="7" width="11.25" customWidth="1"/>
    <col min="8" max="8" width="14.875" customWidth="1"/>
    <col min="9" max="9" width="16.25" customWidth="1"/>
    <col min="10" max="10" width="4.125" customWidth="1"/>
    <col min="11" max="11" width="12.5" customWidth="1"/>
    <col min="12" max="12" width="8.125" customWidth="1"/>
    <col min="13" max="13" width="6.875" customWidth="1"/>
    <col min="14" max="14" width="10" customWidth="1"/>
    <col min="15" max="15" width="18.125" customWidth="1"/>
    <col min="16" max="16" width="15.625" customWidth="1"/>
    <col min="17" max="17" width="34.625" customWidth="1"/>
    <col min="18" max="18" width="5.75" customWidth="1"/>
    <col min="20" max="20" width="12" style="6" bestFit="1" customWidth="1"/>
    <col min="21" max="21" width="9" style="6"/>
    <col min="24" max="24" width="16.875" customWidth="1"/>
  </cols>
  <sheetData>
    <row r="1" spans="1:34" x14ac:dyDescent="0.3">
      <c r="A1" t="s">
        <v>109</v>
      </c>
      <c r="B1" t="s">
        <v>110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147</v>
      </c>
      <c r="S1" t="s">
        <v>165</v>
      </c>
      <c r="T1" t="s">
        <v>574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</row>
    <row r="2" spans="1:34" s="1" customFormat="1" x14ac:dyDescent="0.3">
      <c r="A2" s="1" t="s">
        <v>19</v>
      </c>
      <c r="B2" s="1">
        <v>240122202</v>
      </c>
      <c r="C2" s="4">
        <v>45313</v>
      </c>
      <c r="D2" s="3" t="s">
        <v>20</v>
      </c>
      <c r="E2" s="3">
        <v>202</v>
      </c>
      <c r="F2" s="3" t="s">
        <v>0</v>
      </c>
      <c r="G2" s="3" t="s">
        <v>21</v>
      </c>
      <c r="H2" s="3" t="s">
        <v>17</v>
      </c>
      <c r="I2" s="3" t="s">
        <v>18</v>
      </c>
      <c r="J2" s="3" t="s">
        <v>4</v>
      </c>
      <c r="K2" s="4">
        <v>42571</v>
      </c>
      <c r="L2" s="3">
        <v>90</v>
      </c>
      <c r="M2" s="3">
        <v>7</v>
      </c>
      <c r="N2" s="3">
        <v>7.51</v>
      </c>
      <c r="O2" s="3" t="s">
        <v>10</v>
      </c>
      <c r="P2" s="3" t="s">
        <v>2</v>
      </c>
      <c r="Q2" s="3" t="s">
        <v>3</v>
      </c>
      <c r="T2" s="5" t="s">
        <v>416</v>
      </c>
      <c r="U2" s="5" t="s">
        <v>408</v>
      </c>
      <c r="V2" s="1">
        <v>1</v>
      </c>
      <c r="W2" s="1">
        <v>1</v>
      </c>
      <c r="X2" s="1" t="s">
        <v>180</v>
      </c>
      <c r="Y2" s="1" t="s">
        <v>181</v>
      </c>
      <c r="Z2" s="1" t="s">
        <v>182</v>
      </c>
      <c r="AA2" s="1" t="s">
        <v>183</v>
      </c>
      <c r="AC2" s="1" t="s">
        <v>184</v>
      </c>
      <c r="AD2" s="1" t="s">
        <v>185</v>
      </c>
      <c r="AE2" s="1" t="s">
        <v>186</v>
      </c>
      <c r="AF2" s="1" t="s">
        <v>187</v>
      </c>
      <c r="AG2" s="1" t="s">
        <v>188</v>
      </c>
      <c r="AH2" s="1" t="s">
        <v>189</v>
      </c>
    </row>
    <row r="3" spans="1:34" s="1" customFormat="1" x14ac:dyDescent="0.3">
      <c r="A3" s="1" t="s">
        <v>19</v>
      </c>
      <c r="B3" s="1">
        <v>240127104</v>
      </c>
      <c r="C3" s="4">
        <v>45318</v>
      </c>
      <c r="D3" s="3" t="s">
        <v>20</v>
      </c>
      <c r="E3" s="3">
        <v>104</v>
      </c>
      <c r="F3" s="3" t="s">
        <v>8</v>
      </c>
      <c r="G3" s="3" t="s">
        <v>22</v>
      </c>
      <c r="H3" s="3" t="s">
        <v>23</v>
      </c>
      <c r="I3" s="3" t="s">
        <v>24</v>
      </c>
      <c r="J3" s="3" t="s">
        <v>4</v>
      </c>
      <c r="K3" s="4">
        <v>42441</v>
      </c>
      <c r="L3" s="3">
        <v>94</v>
      </c>
      <c r="M3" s="3">
        <v>7</v>
      </c>
      <c r="N3" s="3">
        <v>7.88</v>
      </c>
      <c r="O3" s="3" t="s">
        <v>9</v>
      </c>
      <c r="P3" s="3" t="s">
        <v>10</v>
      </c>
      <c r="Q3" s="3" t="s">
        <v>25</v>
      </c>
      <c r="T3" s="5" t="s">
        <v>415</v>
      </c>
      <c r="U3" s="5" t="s">
        <v>408</v>
      </c>
      <c r="V3" s="1">
        <v>1</v>
      </c>
      <c r="W3" s="1">
        <v>1</v>
      </c>
      <c r="X3" s="1" t="s">
        <v>180</v>
      </c>
      <c r="Y3" s="1" t="s">
        <v>181</v>
      </c>
      <c r="Z3" s="1" t="s">
        <v>182</v>
      </c>
      <c r="AA3" s="1" t="s">
        <v>183</v>
      </c>
      <c r="AC3" s="1" t="s">
        <v>190</v>
      </c>
      <c r="AD3" s="1" t="s">
        <v>191</v>
      </c>
      <c r="AE3" s="1" t="s">
        <v>192</v>
      </c>
      <c r="AF3" s="1" t="s">
        <v>193</v>
      </c>
      <c r="AG3" s="1" t="s">
        <v>194</v>
      </c>
      <c r="AH3" s="1" t="s">
        <v>195</v>
      </c>
    </row>
    <row r="4" spans="1:34" s="1" customFormat="1" x14ac:dyDescent="0.3">
      <c r="A4" s="1" t="s">
        <v>19</v>
      </c>
      <c r="B4" s="1">
        <v>240127302</v>
      </c>
      <c r="C4" s="4">
        <v>45318</v>
      </c>
      <c r="D4" s="3" t="s">
        <v>26</v>
      </c>
      <c r="E4" s="3">
        <v>302</v>
      </c>
      <c r="F4" s="3" t="s">
        <v>6</v>
      </c>
      <c r="G4" s="3" t="s">
        <v>27</v>
      </c>
      <c r="H4" s="3" t="s">
        <v>28</v>
      </c>
      <c r="I4" s="3" t="s">
        <v>29</v>
      </c>
      <c r="J4" s="3" t="s">
        <v>4</v>
      </c>
      <c r="K4" s="4">
        <v>42391</v>
      </c>
      <c r="L4" s="3">
        <v>96</v>
      </c>
      <c r="M4" s="3">
        <v>8</v>
      </c>
      <c r="N4" s="3">
        <v>8.01</v>
      </c>
      <c r="O4" s="3" t="s">
        <v>7</v>
      </c>
      <c r="P4" s="3" t="s">
        <v>2</v>
      </c>
      <c r="Q4" s="3" t="s">
        <v>11</v>
      </c>
      <c r="T4" s="5" t="s">
        <v>415</v>
      </c>
      <c r="U4" s="5" t="s">
        <v>407</v>
      </c>
      <c r="V4" s="1">
        <v>1</v>
      </c>
      <c r="W4" s="1">
        <v>0</v>
      </c>
      <c r="X4" s="1" t="s">
        <v>196</v>
      </c>
      <c r="Y4" s="1" t="s">
        <v>181</v>
      </c>
      <c r="Z4" s="1" t="s">
        <v>182</v>
      </c>
      <c r="AA4" s="1" t="s">
        <v>197</v>
      </c>
      <c r="AC4" s="1" t="s">
        <v>198</v>
      </c>
      <c r="AD4" s="1" t="s">
        <v>199</v>
      </c>
      <c r="AE4" s="1" t="s">
        <v>200</v>
      </c>
      <c r="AF4" s="1" t="s">
        <v>201</v>
      </c>
      <c r="AG4" s="1" t="s">
        <v>202</v>
      </c>
      <c r="AH4" s="1" t="s">
        <v>203</v>
      </c>
    </row>
    <row r="5" spans="1:34" s="1" customFormat="1" x14ac:dyDescent="0.3">
      <c r="A5" s="1" t="s">
        <v>19</v>
      </c>
      <c r="B5" s="1">
        <v>240127304</v>
      </c>
      <c r="C5" s="4">
        <v>45318</v>
      </c>
      <c r="D5" s="3" t="s">
        <v>26</v>
      </c>
      <c r="E5" s="3">
        <v>304</v>
      </c>
      <c r="F5" s="3" t="s">
        <v>6</v>
      </c>
      <c r="G5" s="3" t="s">
        <v>30</v>
      </c>
      <c r="H5" s="3" t="s">
        <v>31</v>
      </c>
      <c r="I5" s="3" t="s">
        <v>32</v>
      </c>
      <c r="J5" s="3" t="s">
        <v>1</v>
      </c>
      <c r="K5" s="4">
        <v>42593</v>
      </c>
      <c r="L5" s="3">
        <v>89</v>
      </c>
      <c r="M5" s="3">
        <v>7</v>
      </c>
      <c r="N5" s="3">
        <v>7.46</v>
      </c>
      <c r="O5" s="3" t="s">
        <v>9</v>
      </c>
      <c r="P5" s="3" t="s">
        <v>10</v>
      </c>
      <c r="Q5" s="3" t="s">
        <v>25</v>
      </c>
      <c r="T5" s="5" t="s">
        <v>415</v>
      </c>
      <c r="U5" s="5" t="s">
        <v>407</v>
      </c>
      <c r="V5" s="1">
        <v>1</v>
      </c>
      <c r="W5" s="1">
        <v>1</v>
      </c>
      <c r="X5" s="1" t="s">
        <v>180</v>
      </c>
      <c r="Y5" s="1" t="s">
        <v>181</v>
      </c>
      <c r="Z5" s="1" t="s">
        <v>182</v>
      </c>
      <c r="AA5" s="1" t="s">
        <v>204</v>
      </c>
      <c r="AC5" s="1" t="s">
        <v>205</v>
      </c>
      <c r="AD5" s="1" t="s">
        <v>206</v>
      </c>
      <c r="AE5" s="1" t="s">
        <v>207</v>
      </c>
      <c r="AF5" s="1" t="s">
        <v>208</v>
      </c>
      <c r="AG5" s="1" t="s">
        <v>209</v>
      </c>
      <c r="AH5" s="1" t="s">
        <v>210</v>
      </c>
    </row>
    <row r="6" spans="1:34" s="1" customFormat="1" x14ac:dyDescent="0.3">
      <c r="A6" s="1" t="s">
        <v>19</v>
      </c>
      <c r="B6" s="1">
        <v>240127402</v>
      </c>
      <c r="C6" s="4">
        <v>45318</v>
      </c>
      <c r="D6" s="3" t="s">
        <v>5</v>
      </c>
      <c r="E6" s="3">
        <v>402</v>
      </c>
      <c r="F6" s="3" t="s">
        <v>6</v>
      </c>
      <c r="G6" s="3" t="s">
        <v>33</v>
      </c>
      <c r="H6" s="3" t="s">
        <v>34</v>
      </c>
      <c r="I6" s="3" t="s">
        <v>35</v>
      </c>
      <c r="J6" s="3" t="s">
        <v>4</v>
      </c>
      <c r="K6" s="4">
        <v>42499</v>
      </c>
      <c r="L6" s="3">
        <v>92</v>
      </c>
      <c r="M6" s="3">
        <v>7</v>
      </c>
      <c r="N6" s="3">
        <v>7.72</v>
      </c>
      <c r="O6" s="3" t="s">
        <v>7</v>
      </c>
      <c r="P6" s="3" t="s">
        <v>2</v>
      </c>
      <c r="Q6" s="3" t="s">
        <v>11</v>
      </c>
      <c r="T6" s="5" t="s">
        <v>415</v>
      </c>
      <c r="U6" s="5" t="s">
        <v>407</v>
      </c>
      <c r="V6" s="1">
        <v>1</v>
      </c>
      <c r="W6" s="1">
        <v>1</v>
      </c>
      <c r="X6" s="1" t="s">
        <v>180</v>
      </c>
      <c r="Y6" s="1" t="s">
        <v>181</v>
      </c>
      <c r="Z6" s="1" t="s">
        <v>182</v>
      </c>
      <c r="AA6" s="1" t="s">
        <v>183</v>
      </c>
      <c r="AC6" s="1" t="s">
        <v>211</v>
      </c>
      <c r="AD6" s="1" t="s">
        <v>212</v>
      </c>
      <c r="AE6" s="1" t="s">
        <v>213</v>
      </c>
      <c r="AF6" s="1" t="s">
        <v>214</v>
      </c>
      <c r="AG6" s="1" t="s">
        <v>215</v>
      </c>
      <c r="AH6" s="1" t="s">
        <v>216</v>
      </c>
    </row>
    <row r="7" spans="1:34" s="1" customFormat="1" x14ac:dyDescent="0.3">
      <c r="A7" s="1" t="s">
        <v>19</v>
      </c>
      <c r="B7" s="1">
        <v>240127404</v>
      </c>
      <c r="C7" s="4">
        <v>45318</v>
      </c>
      <c r="D7" s="3" t="s">
        <v>5</v>
      </c>
      <c r="E7" s="3">
        <v>404</v>
      </c>
      <c r="F7" s="3" t="s">
        <v>6</v>
      </c>
      <c r="G7" s="3" t="s">
        <v>36</v>
      </c>
      <c r="H7" s="3" t="s">
        <v>37</v>
      </c>
      <c r="I7" s="3" t="s">
        <v>38</v>
      </c>
      <c r="J7" s="3" t="s">
        <v>4</v>
      </c>
      <c r="K7" s="4">
        <v>42372</v>
      </c>
      <c r="L7" s="3">
        <v>96</v>
      </c>
      <c r="M7" s="3">
        <v>8</v>
      </c>
      <c r="N7" s="3">
        <v>8.07</v>
      </c>
      <c r="O7" s="3" t="s">
        <v>9</v>
      </c>
      <c r="P7" s="3" t="s">
        <v>10</v>
      </c>
      <c r="Q7" s="3" t="s">
        <v>25</v>
      </c>
      <c r="T7" s="5" t="s">
        <v>415</v>
      </c>
      <c r="U7" s="5" t="s">
        <v>407</v>
      </c>
      <c r="V7" s="1">
        <v>1</v>
      </c>
      <c r="W7" s="1">
        <v>1</v>
      </c>
      <c r="X7" s="1" t="s">
        <v>180</v>
      </c>
      <c r="Y7" s="1" t="s">
        <v>181</v>
      </c>
      <c r="Z7" s="1" t="s">
        <v>182</v>
      </c>
      <c r="AA7" s="1" t="s">
        <v>217</v>
      </c>
      <c r="AC7" s="1" t="s">
        <v>218</v>
      </c>
      <c r="AD7" s="1" t="s">
        <v>219</v>
      </c>
      <c r="AE7" s="1" t="s">
        <v>220</v>
      </c>
      <c r="AF7" s="1" t="s">
        <v>221</v>
      </c>
      <c r="AG7" s="1" t="s">
        <v>222</v>
      </c>
      <c r="AH7" s="1" t="s">
        <v>223</v>
      </c>
    </row>
    <row r="8" spans="1:34" s="1" customFormat="1" x14ac:dyDescent="0.3">
      <c r="A8" s="1" t="s">
        <v>19</v>
      </c>
      <c r="B8" s="1">
        <v>240128101</v>
      </c>
      <c r="C8" s="4">
        <v>45319</v>
      </c>
      <c r="D8" s="3" t="s">
        <v>26</v>
      </c>
      <c r="E8" s="3">
        <v>101</v>
      </c>
      <c r="F8" s="3" t="s">
        <v>0</v>
      </c>
      <c r="G8" s="3" t="s">
        <v>39</v>
      </c>
      <c r="H8" s="3" t="s">
        <v>40</v>
      </c>
      <c r="I8" s="3" t="s">
        <v>41</v>
      </c>
      <c r="J8" s="3" t="s">
        <v>4</v>
      </c>
      <c r="K8" s="4">
        <v>42349</v>
      </c>
      <c r="L8" s="3">
        <v>97</v>
      </c>
      <c r="M8" s="3">
        <v>8</v>
      </c>
      <c r="N8" s="3">
        <v>8.1300000000000008</v>
      </c>
      <c r="O8" s="3" t="s">
        <v>42</v>
      </c>
      <c r="P8" s="3" t="s">
        <v>2</v>
      </c>
      <c r="Q8" s="3" t="s">
        <v>3</v>
      </c>
      <c r="T8" s="5" t="s">
        <v>415</v>
      </c>
      <c r="U8" s="5" t="s">
        <v>407</v>
      </c>
      <c r="V8" s="1">
        <v>1</v>
      </c>
      <c r="W8" s="1">
        <v>1</v>
      </c>
      <c r="X8" s="1" t="s">
        <v>180</v>
      </c>
      <c r="Y8" s="1" t="s">
        <v>181</v>
      </c>
      <c r="Z8" s="1" t="s">
        <v>182</v>
      </c>
      <c r="AA8" s="1" t="s">
        <v>183</v>
      </c>
      <c r="AC8" s="1" t="s">
        <v>224</v>
      </c>
      <c r="AE8" s="1" t="s">
        <v>225</v>
      </c>
      <c r="AF8" s="1" t="s">
        <v>226</v>
      </c>
      <c r="AG8" s="1" t="s">
        <v>227</v>
      </c>
      <c r="AH8" s="1" t="s">
        <v>228</v>
      </c>
    </row>
    <row r="9" spans="1:34" s="1" customFormat="1" x14ac:dyDescent="0.3">
      <c r="A9" s="1" t="s">
        <v>19</v>
      </c>
      <c r="B9" s="1">
        <v>240203103</v>
      </c>
      <c r="C9" s="4">
        <v>45325</v>
      </c>
      <c r="D9" s="3" t="s">
        <v>20</v>
      </c>
      <c r="E9" s="3">
        <v>103</v>
      </c>
      <c r="F9" s="3" t="s">
        <v>6</v>
      </c>
      <c r="G9" s="3" t="s">
        <v>43</v>
      </c>
      <c r="H9" s="3" t="s">
        <v>44</v>
      </c>
      <c r="I9" s="3" t="s">
        <v>45</v>
      </c>
      <c r="J9" s="3" t="s">
        <v>1</v>
      </c>
      <c r="K9" s="4">
        <v>42563</v>
      </c>
      <c r="L9" s="3">
        <v>90</v>
      </c>
      <c r="M9" s="3">
        <v>7</v>
      </c>
      <c r="N9" s="3">
        <v>7.56</v>
      </c>
      <c r="O9" s="3" t="s">
        <v>15</v>
      </c>
      <c r="P9" s="3" t="s">
        <v>2</v>
      </c>
      <c r="Q9" s="3" t="s">
        <v>3</v>
      </c>
      <c r="T9" s="5" t="s">
        <v>415</v>
      </c>
      <c r="U9" s="5" t="s">
        <v>407</v>
      </c>
      <c r="V9" s="1">
        <v>1</v>
      </c>
      <c r="W9" s="1">
        <v>1</v>
      </c>
      <c r="X9" s="1" t="s">
        <v>180</v>
      </c>
      <c r="Y9" s="1" t="s">
        <v>229</v>
      </c>
      <c r="Z9" s="1" t="s">
        <v>182</v>
      </c>
      <c r="AA9" s="1" t="s">
        <v>230</v>
      </c>
      <c r="AC9" s="1" t="s">
        <v>231</v>
      </c>
      <c r="AD9" s="1" t="s">
        <v>232</v>
      </c>
      <c r="AE9" s="1" t="s">
        <v>233</v>
      </c>
      <c r="AF9" s="1" t="s">
        <v>234</v>
      </c>
      <c r="AG9" s="1" t="s">
        <v>235</v>
      </c>
      <c r="AH9" s="1" t="s">
        <v>236</v>
      </c>
    </row>
    <row r="10" spans="1:34" s="1" customFormat="1" x14ac:dyDescent="0.3">
      <c r="A10" s="1" t="s">
        <v>19</v>
      </c>
      <c r="B10" s="1">
        <v>240203201</v>
      </c>
      <c r="C10" s="4">
        <v>45325</v>
      </c>
      <c r="D10" s="3" t="s">
        <v>46</v>
      </c>
      <c r="E10" s="3">
        <v>201</v>
      </c>
      <c r="F10" s="3" t="s">
        <v>6</v>
      </c>
      <c r="G10" s="3" t="s">
        <v>47</v>
      </c>
      <c r="H10" s="3" t="s">
        <v>48</v>
      </c>
      <c r="I10" s="3" t="s">
        <v>49</v>
      </c>
      <c r="J10" s="3" t="s">
        <v>1</v>
      </c>
      <c r="K10" s="4">
        <v>42637</v>
      </c>
      <c r="L10" s="3">
        <v>88</v>
      </c>
      <c r="M10" s="3">
        <v>7</v>
      </c>
      <c r="N10" s="3">
        <v>7.36</v>
      </c>
      <c r="O10" s="3" t="s">
        <v>13</v>
      </c>
      <c r="P10" s="3" t="s">
        <v>14</v>
      </c>
      <c r="Q10" s="3" t="s">
        <v>3</v>
      </c>
      <c r="T10" s="5" t="s">
        <v>415</v>
      </c>
      <c r="U10" s="5" t="s">
        <v>407</v>
      </c>
      <c r="V10" s="1">
        <v>1</v>
      </c>
      <c r="W10" s="1">
        <v>0</v>
      </c>
      <c r="X10" s="1" t="s">
        <v>237</v>
      </c>
      <c r="Y10" s="1" t="s">
        <v>181</v>
      </c>
      <c r="Z10" s="1" t="s">
        <v>182</v>
      </c>
      <c r="AA10" s="1" t="s">
        <v>238</v>
      </c>
      <c r="AC10" s="1" t="s">
        <v>239</v>
      </c>
      <c r="AD10" s="1" t="s">
        <v>240</v>
      </c>
      <c r="AE10" s="1" t="s">
        <v>241</v>
      </c>
      <c r="AF10" s="1" t="s">
        <v>242</v>
      </c>
      <c r="AG10" s="1" t="s">
        <v>243</v>
      </c>
      <c r="AH10" s="1" t="s">
        <v>244</v>
      </c>
    </row>
    <row r="11" spans="1:34" s="1" customFormat="1" x14ac:dyDescent="0.3">
      <c r="A11" s="1" t="s">
        <v>19</v>
      </c>
      <c r="B11" s="1">
        <v>240203202</v>
      </c>
      <c r="C11" s="4">
        <v>45325</v>
      </c>
      <c r="D11" s="3" t="s">
        <v>46</v>
      </c>
      <c r="E11" s="3">
        <v>202</v>
      </c>
      <c r="F11" s="3" t="s">
        <v>6</v>
      </c>
      <c r="G11" s="3" t="s">
        <v>53</v>
      </c>
      <c r="H11" s="3" t="s">
        <v>54</v>
      </c>
      <c r="I11" s="3" t="s">
        <v>55</v>
      </c>
      <c r="J11" s="3" t="s">
        <v>4</v>
      </c>
      <c r="K11" s="4">
        <v>42456</v>
      </c>
      <c r="L11" s="3">
        <v>94</v>
      </c>
      <c r="M11" s="3">
        <v>7</v>
      </c>
      <c r="N11" s="3">
        <v>7.85</v>
      </c>
      <c r="O11" s="3" t="s">
        <v>7</v>
      </c>
      <c r="P11" s="3" t="s">
        <v>10</v>
      </c>
      <c r="Q11" s="3" t="s">
        <v>25</v>
      </c>
      <c r="T11" s="5" t="s">
        <v>538</v>
      </c>
      <c r="U11" s="5"/>
    </row>
    <row r="12" spans="1:34" s="1" customFormat="1" x14ac:dyDescent="0.3">
      <c r="A12" s="1" t="s">
        <v>19</v>
      </c>
      <c r="B12" s="1">
        <v>240203203</v>
      </c>
      <c r="C12" s="4">
        <v>45325</v>
      </c>
      <c r="D12" s="3" t="s">
        <v>46</v>
      </c>
      <c r="E12" s="3">
        <v>203</v>
      </c>
      <c r="F12" s="3" t="s">
        <v>6</v>
      </c>
      <c r="G12" s="3" t="s">
        <v>50</v>
      </c>
      <c r="H12" s="3" t="s">
        <v>51</v>
      </c>
      <c r="I12" s="3" t="s">
        <v>52</v>
      </c>
      <c r="J12" s="3" t="s">
        <v>1</v>
      </c>
      <c r="K12" s="4">
        <v>42624</v>
      </c>
      <c r="L12" s="3">
        <v>88</v>
      </c>
      <c r="M12" s="3">
        <v>7</v>
      </c>
      <c r="N12" s="3">
        <v>7.39</v>
      </c>
      <c r="O12" s="3" t="s">
        <v>15</v>
      </c>
      <c r="P12" s="3" t="s">
        <v>2</v>
      </c>
      <c r="Q12" s="3" t="s">
        <v>3</v>
      </c>
      <c r="T12" s="5" t="s">
        <v>412</v>
      </c>
      <c r="U12" s="5" t="s">
        <v>409</v>
      </c>
      <c r="V12" s="1">
        <v>0</v>
      </c>
      <c r="W12" s="1">
        <v>0</v>
      </c>
      <c r="X12" s="1" t="s">
        <v>245</v>
      </c>
      <c r="Y12" s="1" t="s">
        <v>181</v>
      </c>
      <c r="Z12" s="1" t="s">
        <v>182</v>
      </c>
      <c r="AA12" s="1" t="s">
        <v>246</v>
      </c>
      <c r="AC12" s="1" t="s">
        <v>247</v>
      </c>
      <c r="AD12" s="1" t="s">
        <v>248</v>
      </c>
      <c r="AE12" s="1" t="s">
        <v>249</v>
      </c>
      <c r="AF12" s="1" t="s">
        <v>250</v>
      </c>
      <c r="AG12" s="1" t="s">
        <v>235</v>
      </c>
      <c r="AH12" s="1" t="s">
        <v>251</v>
      </c>
    </row>
    <row r="13" spans="1:34" s="1" customFormat="1" x14ac:dyDescent="0.3">
      <c r="A13" s="1" t="s">
        <v>19</v>
      </c>
      <c r="B13" s="1">
        <v>240203303</v>
      </c>
      <c r="C13" s="4">
        <v>45325</v>
      </c>
      <c r="D13" s="3" t="s">
        <v>26</v>
      </c>
      <c r="E13" s="3">
        <v>303</v>
      </c>
      <c r="F13" s="3" t="s">
        <v>6</v>
      </c>
      <c r="G13" s="3" t="s">
        <v>56</v>
      </c>
      <c r="H13" s="3" t="s">
        <v>57</v>
      </c>
      <c r="I13" s="3" t="s">
        <v>58</v>
      </c>
      <c r="J13" s="3" t="s">
        <v>1</v>
      </c>
      <c r="K13" s="4">
        <v>42500</v>
      </c>
      <c r="L13" s="3">
        <v>92</v>
      </c>
      <c r="M13" s="3">
        <v>7</v>
      </c>
      <c r="N13" s="3">
        <v>7.73</v>
      </c>
      <c r="O13" s="3" t="s">
        <v>15</v>
      </c>
      <c r="P13" s="3" t="s">
        <v>2</v>
      </c>
      <c r="Q13" s="3" t="s">
        <v>3</v>
      </c>
      <c r="T13" s="5" t="s">
        <v>415</v>
      </c>
      <c r="U13" s="5"/>
      <c r="V13" s="1">
        <v>1</v>
      </c>
      <c r="W13" s="1">
        <v>0</v>
      </c>
      <c r="X13" s="1" t="s">
        <v>196</v>
      </c>
      <c r="Y13" s="1" t="s">
        <v>181</v>
      </c>
      <c r="Z13" s="1" t="s">
        <v>182</v>
      </c>
      <c r="AA13" s="1" t="s">
        <v>252</v>
      </c>
      <c r="AC13" s="1" t="s">
        <v>253</v>
      </c>
      <c r="AD13" s="1" t="s">
        <v>254</v>
      </c>
      <c r="AE13" s="1" t="s">
        <v>255</v>
      </c>
      <c r="AF13" s="1" t="s">
        <v>256</v>
      </c>
      <c r="AG13" s="1" t="s">
        <v>257</v>
      </c>
      <c r="AH13" s="1" t="s">
        <v>258</v>
      </c>
    </row>
    <row r="14" spans="1:34" s="1" customFormat="1" x14ac:dyDescent="0.3">
      <c r="A14" s="1" t="s">
        <v>19</v>
      </c>
      <c r="B14" s="1">
        <v>240203504</v>
      </c>
      <c r="C14" s="4">
        <v>45325</v>
      </c>
      <c r="D14" s="3" t="s">
        <v>12</v>
      </c>
      <c r="E14" s="3">
        <v>504</v>
      </c>
      <c r="F14" s="3" t="s">
        <v>6</v>
      </c>
      <c r="G14" s="3" t="s">
        <v>59</v>
      </c>
      <c r="H14" s="3" t="s">
        <v>60</v>
      </c>
      <c r="I14" s="3" t="s">
        <v>61</v>
      </c>
      <c r="J14" s="3" t="s">
        <v>1</v>
      </c>
      <c r="K14" s="4">
        <v>42638</v>
      </c>
      <c r="L14" s="3">
        <v>88</v>
      </c>
      <c r="M14" s="3">
        <v>7</v>
      </c>
      <c r="N14" s="3">
        <v>7.36</v>
      </c>
      <c r="O14" s="3" t="s">
        <v>10</v>
      </c>
      <c r="P14" s="3" t="s">
        <v>10</v>
      </c>
      <c r="Q14" s="3" t="s">
        <v>3</v>
      </c>
      <c r="T14" s="5" t="s">
        <v>415</v>
      </c>
      <c r="U14" s="5"/>
      <c r="V14" s="1">
        <v>1</v>
      </c>
      <c r="W14" s="1">
        <v>1</v>
      </c>
      <c r="X14" s="1" t="s">
        <v>180</v>
      </c>
      <c r="Y14" s="1" t="s">
        <v>181</v>
      </c>
      <c r="Z14" s="1" t="s">
        <v>182</v>
      </c>
      <c r="AA14" s="1" t="s">
        <v>183</v>
      </c>
      <c r="AC14" s="1" t="s">
        <v>259</v>
      </c>
      <c r="AD14" s="1" t="s">
        <v>260</v>
      </c>
      <c r="AE14" s="1" t="s">
        <v>261</v>
      </c>
      <c r="AF14" s="1" t="s">
        <v>262</v>
      </c>
      <c r="AG14" s="1" t="s">
        <v>263</v>
      </c>
      <c r="AH14" s="1" t="s">
        <v>264</v>
      </c>
    </row>
    <row r="15" spans="1:34" s="1" customFormat="1" x14ac:dyDescent="0.3">
      <c r="A15" s="1" t="s">
        <v>19</v>
      </c>
      <c r="B15" s="1">
        <v>240215601</v>
      </c>
      <c r="C15" s="4">
        <v>45337</v>
      </c>
      <c r="D15" s="3" t="s">
        <v>12</v>
      </c>
      <c r="E15" s="3">
        <v>601</v>
      </c>
      <c r="F15" s="3" t="s">
        <v>0</v>
      </c>
      <c r="G15" s="3" t="s">
        <v>62</v>
      </c>
      <c r="H15" s="3" t="s">
        <v>63</v>
      </c>
      <c r="I15" s="3" t="s">
        <v>64</v>
      </c>
      <c r="J15" s="3" t="s">
        <v>1</v>
      </c>
      <c r="K15" s="4">
        <v>41992</v>
      </c>
      <c r="L15" s="3">
        <v>109</v>
      </c>
      <c r="M15" s="3">
        <v>9</v>
      </c>
      <c r="N15" s="3">
        <v>9.16</v>
      </c>
      <c r="O15" s="3" t="s">
        <v>65</v>
      </c>
      <c r="P15" s="3"/>
      <c r="Q15" s="3" t="s">
        <v>3</v>
      </c>
      <c r="T15" s="5" t="s">
        <v>415</v>
      </c>
      <c r="U15" s="5"/>
      <c r="V15" s="1">
        <v>1</v>
      </c>
      <c r="W15" s="1">
        <v>1</v>
      </c>
      <c r="X15" s="1" t="s">
        <v>180</v>
      </c>
      <c r="Y15" s="1" t="s">
        <v>181</v>
      </c>
      <c r="Z15" s="1" t="s">
        <v>182</v>
      </c>
      <c r="AA15" s="1" t="s">
        <v>183</v>
      </c>
      <c r="AC15" s="1" t="s">
        <v>265</v>
      </c>
      <c r="AD15" s="1" t="s">
        <v>266</v>
      </c>
      <c r="AE15" s="1" t="s">
        <v>267</v>
      </c>
      <c r="AF15" s="1" t="s">
        <v>268</v>
      </c>
      <c r="AG15" s="1" t="s">
        <v>269</v>
      </c>
      <c r="AH15" s="1" t="s">
        <v>270</v>
      </c>
    </row>
    <row r="16" spans="1:34" s="1" customFormat="1" x14ac:dyDescent="0.3">
      <c r="A16" s="1" t="s">
        <v>19</v>
      </c>
      <c r="B16" s="1">
        <v>240217101</v>
      </c>
      <c r="C16" s="4">
        <v>45339</v>
      </c>
      <c r="D16" s="3" t="s">
        <v>20</v>
      </c>
      <c r="E16" s="3">
        <v>101</v>
      </c>
      <c r="F16" s="3" t="s">
        <v>6</v>
      </c>
      <c r="G16" s="3" t="s">
        <v>66</v>
      </c>
      <c r="H16" s="3" t="s">
        <v>67</v>
      </c>
      <c r="I16" s="3" t="s">
        <v>68</v>
      </c>
      <c r="J16" s="3" t="s">
        <v>1</v>
      </c>
      <c r="K16" s="4">
        <v>42520</v>
      </c>
      <c r="L16" s="3">
        <v>92</v>
      </c>
      <c r="M16" s="3">
        <v>7</v>
      </c>
      <c r="N16" s="3">
        <v>7.71</v>
      </c>
      <c r="O16" s="3" t="s">
        <v>13</v>
      </c>
      <c r="P16" s="3" t="s">
        <v>14</v>
      </c>
      <c r="Q16" s="3" t="s">
        <v>3</v>
      </c>
      <c r="T16" s="5" t="s">
        <v>415</v>
      </c>
      <c r="U16" s="5"/>
      <c r="X16" s="1" t="s">
        <v>271</v>
      </c>
      <c r="Y16" s="1" t="s">
        <v>181</v>
      </c>
      <c r="Z16" s="1" t="s">
        <v>182</v>
      </c>
      <c r="AA16" s="1" t="s">
        <v>272</v>
      </c>
      <c r="AC16" s="1" t="s">
        <v>273</v>
      </c>
      <c r="AD16" s="1" t="s">
        <v>272</v>
      </c>
      <c r="AE16" s="1" t="s">
        <v>274</v>
      </c>
      <c r="AF16" s="1" t="s">
        <v>275</v>
      </c>
      <c r="AG16" s="1" t="s">
        <v>276</v>
      </c>
      <c r="AH16" s="1" t="s">
        <v>277</v>
      </c>
    </row>
    <row r="17" spans="1:34" s="1" customFormat="1" x14ac:dyDescent="0.3">
      <c r="A17" s="1" t="s">
        <v>19</v>
      </c>
      <c r="B17" s="1">
        <v>240217104</v>
      </c>
      <c r="C17" s="4">
        <v>45339</v>
      </c>
      <c r="D17" s="3" t="s">
        <v>20</v>
      </c>
      <c r="E17" s="3">
        <v>104</v>
      </c>
      <c r="F17" s="3" t="s">
        <v>8</v>
      </c>
      <c r="G17" s="3" t="s">
        <v>69</v>
      </c>
      <c r="H17" s="3" t="s">
        <v>70</v>
      </c>
      <c r="I17" s="3" t="s">
        <v>71</v>
      </c>
      <c r="J17" s="3" t="s">
        <v>4</v>
      </c>
      <c r="K17" s="4">
        <v>43214</v>
      </c>
      <c r="L17" s="3">
        <v>69</v>
      </c>
      <c r="M17" s="3">
        <v>5</v>
      </c>
      <c r="N17" s="3">
        <v>5.81</v>
      </c>
      <c r="O17" s="3" t="s">
        <v>10</v>
      </c>
      <c r="P17" s="3" t="s">
        <v>10</v>
      </c>
      <c r="Q17" s="3" t="s">
        <v>3</v>
      </c>
      <c r="T17" s="5" t="s">
        <v>535</v>
      </c>
      <c r="U17" s="5"/>
      <c r="V17" s="1">
        <v>1</v>
      </c>
      <c r="W17" s="1">
        <v>1</v>
      </c>
      <c r="X17" s="1" t="s">
        <v>180</v>
      </c>
      <c r="Y17" s="1" t="s">
        <v>181</v>
      </c>
      <c r="Z17" s="1" t="s">
        <v>182</v>
      </c>
      <c r="AA17" s="1" t="s">
        <v>278</v>
      </c>
      <c r="AC17" s="1" t="s">
        <v>279</v>
      </c>
      <c r="AD17" s="1" t="s">
        <v>280</v>
      </c>
      <c r="AE17" s="1" t="s">
        <v>281</v>
      </c>
      <c r="AF17" s="1" t="s">
        <v>282</v>
      </c>
      <c r="AG17" s="1" t="s">
        <v>283</v>
      </c>
      <c r="AH17" s="1" t="s">
        <v>284</v>
      </c>
    </row>
    <row r="18" spans="1:34" s="1" customFormat="1" x14ac:dyDescent="0.3">
      <c r="A18" s="1" t="s">
        <v>19</v>
      </c>
      <c r="B18" s="1">
        <v>240217501</v>
      </c>
      <c r="C18" s="4">
        <v>45339</v>
      </c>
      <c r="D18" s="3" t="s">
        <v>12</v>
      </c>
      <c r="E18" s="3">
        <v>501</v>
      </c>
      <c r="F18" s="3" t="s">
        <v>8</v>
      </c>
      <c r="G18" s="3" t="s">
        <v>72</v>
      </c>
      <c r="H18" s="3" t="s">
        <v>73</v>
      </c>
      <c r="I18" s="3" t="s">
        <v>74</v>
      </c>
      <c r="J18" s="3" t="s">
        <v>1</v>
      </c>
      <c r="K18" s="4">
        <v>43155</v>
      </c>
      <c r="L18" s="3">
        <v>71</v>
      </c>
      <c r="M18" s="3">
        <v>5</v>
      </c>
      <c r="N18" s="3">
        <v>5.98</v>
      </c>
      <c r="O18" s="3" t="s">
        <v>13</v>
      </c>
      <c r="P18" s="3" t="s">
        <v>75</v>
      </c>
      <c r="Q18" s="3" t="s">
        <v>3</v>
      </c>
      <c r="T18" s="5" t="s">
        <v>411</v>
      </c>
      <c r="U18" s="5" t="s">
        <v>410</v>
      </c>
      <c r="V18" s="1">
        <v>1</v>
      </c>
      <c r="W18" s="1">
        <v>1</v>
      </c>
      <c r="X18" s="1" t="s">
        <v>271</v>
      </c>
      <c r="Y18" s="1" t="s">
        <v>181</v>
      </c>
      <c r="Z18" s="1" t="s">
        <v>182</v>
      </c>
      <c r="AA18" s="1" t="s">
        <v>285</v>
      </c>
      <c r="AC18" s="1" t="s">
        <v>286</v>
      </c>
      <c r="AD18" s="1" t="s">
        <v>287</v>
      </c>
      <c r="AE18" s="1" t="s">
        <v>288</v>
      </c>
      <c r="AF18" s="1" t="s">
        <v>289</v>
      </c>
      <c r="AG18" s="1" t="s">
        <v>290</v>
      </c>
      <c r="AH18" s="1" t="s">
        <v>291</v>
      </c>
    </row>
    <row r="19" spans="1:34" s="1" customFormat="1" x14ac:dyDescent="0.3">
      <c r="A19" s="1" t="s">
        <v>19</v>
      </c>
      <c r="B19" s="1">
        <v>240221101</v>
      </c>
      <c r="C19" s="4">
        <v>45343</v>
      </c>
      <c r="D19" s="3" t="s">
        <v>76</v>
      </c>
      <c r="E19" s="3">
        <v>101</v>
      </c>
      <c r="F19" s="3" t="s">
        <v>0</v>
      </c>
      <c r="G19" s="3" t="s">
        <v>77</v>
      </c>
      <c r="H19" s="3" t="s">
        <v>78</v>
      </c>
      <c r="I19" s="3" t="s">
        <v>79</v>
      </c>
      <c r="J19" s="3" t="s">
        <v>4</v>
      </c>
      <c r="K19" s="4">
        <v>42165</v>
      </c>
      <c r="L19" s="3">
        <v>104</v>
      </c>
      <c r="M19" s="3">
        <v>8</v>
      </c>
      <c r="N19" s="3">
        <v>8.6999999999999993</v>
      </c>
      <c r="O19" s="3" t="s">
        <v>42</v>
      </c>
      <c r="P19" s="3" t="s">
        <v>2</v>
      </c>
      <c r="Q19" s="3" t="s">
        <v>3</v>
      </c>
      <c r="T19" s="5" t="s">
        <v>415</v>
      </c>
      <c r="U19" s="5"/>
      <c r="V19" s="1">
        <v>1</v>
      </c>
      <c r="W19" s="1">
        <v>1</v>
      </c>
      <c r="X19" s="1" t="s">
        <v>180</v>
      </c>
      <c r="Y19" s="1" t="s">
        <v>181</v>
      </c>
      <c r="Z19" s="1" t="s">
        <v>182</v>
      </c>
      <c r="AA19" s="1" t="s">
        <v>183</v>
      </c>
      <c r="AC19" s="1" t="s">
        <v>292</v>
      </c>
      <c r="AE19" s="1" t="s">
        <v>293</v>
      </c>
      <c r="AF19" s="1" t="s">
        <v>294</v>
      </c>
      <c r="AG19" s="1" t="s">
        <v>295</v>
      </c>
      <c r="AH19" s="1" t="s">
        <v>296</v>
      </c>
    </row>
    <row r="20" spans="1:34" s="1" customFormat="1" x14ac:dyDescent="0.3">
      <c r="A20" s="1" t="s">
        <v>19</v>
      </c>
      <c r="B20" s="1">
        <v>240222102</v>
      </c>
      <c r="C20" s="4">
        <v>45344</v>
      </c>
      <c r="D20" s="3" t="s">
        <v>80</v>
      </c>
      <c r="E20" s="3">
        <v>102</v>
      </c>
      <c r="F20" s="3" t="s">
        <v>0</v>
      </c>
      <c r="G20" s="3" t="s">
        <v>84</v>
      </c>
      <c r="H20" s="3" t="s">
        <v>85</v>
      </c>
      <c r="I20" s="3" t="s">
        <v>86</v>
      </c>
      <c r="J20" s="3" t="s">
        <v>4</v>
      </c>
      <c r="K20" s="4">
        <v>42109</v>
      </c>
      <c r="L20" s="3">
        <v>106</v>
      </c>
      <c r="M20" s="3">
        <v>8</v>
      </c>
      <c r="N20" s="3">
        <v>8.85</v>
      </c>
      <c r="O20" s="3" t="s">
        <v>42</v>
      </c>
      <c r="P20" s="3" t="s">
        <v>2</v>
      </c>
      <c r="Q20" s="3" t="s">
        <v>3</v>
      </c>
      <c r="T20" s="5" t="s">
        <v>415</v>
      </c>
      <c r="U20" s="5"/>
      <c r="V20" s="1">
        <v>1</v>
      </c>
      <c r="W20" s="1">
        <v>1</v>
      </c>
      <c r="X20" s="1" t="s">
        <v>180</v>
      </c>
      <c r="Y20" s="1" t="s">
        <v>181</v>
      </c>
      <c r="Z20" s="1" t="s">
        <v>182</v>
      </c>
      <c r="AA20" s="1" t="s">
        <v>183</v>
      </c>
      <c r="AC20" s="1" t="s">
        <v>297</v>
      </c>
      <c r="AE20" s="1" t="s">
        <v>298</v>
      </c>
      <c r="AF20" s="1" t="s">
        <v>299</v>
      </c>
      <c r="AG20" s="1" t="s">
        <v>300</v>
      </c>
      <c r="AH20" s="1" t="s">
        <v>301</v>
      </c>
    </row>
    <row r="21" spans="1:34" s="1" customFormat="1" x14ac:dyDescent="0.3">
      <c r="A21" s="1" t="s">
        <v>19</v>
      </c>
      <c r="B21" s="1">
        <v>240222202</v>
      </c>
      <c r="C21" s="4">
        <v>45344</v>
      </c>
      <c r="D21" s="3" t="s">
        <v>80</v>
      </c>
      <c r="E21" s="3">
        <v>202</v>
      </c>
      <c r="F21" s="3" t="s">
        <v>0</v>
      </c>
      <c r="G21" s="3" t="s">
        <v>81</v>
      </c>
      <c r="H21" s="3" t="s">
        <v>82</v>
      </c>
      <c r="I21" s="3" t="s">
        <v>83</v>
      </c>
      <c r="J21" s="3" t="s">
        <v>1</v>
      </c>
      <c r="K21" s="4">
        <v>42263</v>
      </c>
      <c r="L21" s="3">
        <v>101</v>
      </c>
      <c r="M21" s="3">
        <v>8</v>
      </c>
      <c r="N21" s="3">
        <v>8.43</v>
      </c>
      <c r="O21" s="3" t="s">
        <v>42</v>
      </c>
      <c r="P21" s="3" t="s">
        <v>2</v>
      </c>
      <c r="Q21" s="3" t="s">
        <v>3</v>
      </c>
      <c r="T21" s="5" t="s">
        <v>415</v>
      </c>
      <c r="U21" s="5"/>
      <c r="V21" s="1">
        <v>1</v>
      </c>
      <c r="W21" s="1">
        <v>1</v>
      </c>
      <c r="X21" s="1" t="s">
        <v>180</v>
      </c>
      <c r="Y21" s="1" t="s">
        <v>181</v>
      </c>
      <c r="Z21" s="1" t="s">
        <v>182</v>
      </c>
      <c r="AA21" s="1" t="s">
        <v>183</v>
      </c>
      <c r="AC21" s="1" t="s">
        <v>302</v>
      </c>
      <c r="AE21" s="1" t="s">
        <v>303</v>
      </c>
      <c r="AF21" s="1" t="s">
        <v>304</v>
      </c>
      <c r="AG21" s="1" t="s">
        <v>305</v>
      </c>
      <c r="AH21" s="1" t="s">
        <v>306</v>
      </c>
    </row>
    <row r="22" spans="1:34" s="1" customFormat="1" x14ac:dyDescent="0.3">
      <c r="A22" s="1" t="s">
        <v>19</v>
      </c>
      <c r="B22" s="1">
        <v>240224402</v>
      </c>
      <c r="C22" s="4">
        <v>45346</v>
      </c>
      <c r="D22" s="3" t="s">
        <v>5</v>
      </c>
      <c r="E22" s="3">
        <v>402</v>
      </c>
      <c r="F22" s="3" t="s">
        <v>6</v>
      </c>
      <c r="G22" s="3" t="s">
        <v>87</v>
      </c>
      <c r="H22" s="3" t="s">
        <v>88</v>
      </c>
      <c r="I22" s="3" t="s">
        <v>89</v>
      </c>
      <c r="J22" s="3" t="s">
        <v>4</v>
      </c>
      <c r="K22" s="4">
        <v>43092</v>
      </c>
      <c r="L22" s="3">
        <v>74</v>
      </c>
      <c r="M22" s="3">
        <v>6</v>
      </c>
      <c r="N22" s="3">
        <v>6.17</v>
      </c>
      <c r="O22" s="3" t="s">
        <v>42</v>
      </c>
      <c r="P22" s="3" t="s">
        <v>2</v>
      </c>
      <c r="Q22" s="3" t="s">
        <v>3</v>
      </c>
      <c r="T22" s="5" t="s">
        <v>537</v>
      </c>
      <c r="U22" s="5" t="s">
        <v>536</v>
      </c>
      <c r="V22" s="1">
        <v>1</v>
      </c>
      <c r="W22" s="1">
        <v>1</v>
      </c>
      <c r="X22" s="1" t="s">
        <v>180</v>
      </c>
      <c r="Y22" s="1" t="s">
        <v>181</v>
      </c>
      <c r="Z22" s="1" t="s">
        <v>307</v>
      </c>
      <c r="AA22" s="1" t="s">
        <v>183</v>
      </c>
      <c r="AC22" s="1" t="s">
        <v>308</v>
      </c>
      <c r="AD22" s="1" t="s">
        <v>309</v>
      </c>
      <c r="AE22" s="1" t="s">
        <v>310</v>
      </c>
      <c r="AF22" s="1" t="s">
        <v>311</v>
      </c>
      <c r="AG22" s="1" t="s">
        <v>312</v>
      </c>
      <c r="AH22" s="1" t="s">
        <v>313</v>
      </c>
    </row>
    <row r="23" spans="1:34" s="1" customFormat="1" x14ac:dyDescent="0.3">
      <c r="A23" s="1" t="s">
        <v>19</v>
      </c>
      <c r="B23" s="1">
        <v>240224601</v>
      </c>
      <c r="C23" s="4">
        <v>45346</v>
      </c>
      <c r="D23" s="3" t="s">
        <v>16</v>
      </c>
      <c r="E23" s="3">
        <v>601</v>
      </c>
      <c r="F23" s="3" t="s">
        <v>6</v>
      </c>
      <c r="G23" s="3" t="s">
        <v>90</v>
      </c>
      <c r="H23" s="3" t="s">
        <v>91</v>
      </c>
      <c r="I23" s="3" t="s">
        <v>92</v>
      </c>
      <c r="J23" s="3" t="s">
        <v>4</v>
      </c>
      <c r="K23" s="4">
        <v>42178</v>
      </c>
      <c r="L23" s="3">
        <v>104</v>
      </c>
      <c r="M23" s="3">
        <v>8</v>
      </c>
      <c r="N23" s="3">
        <v>8.67</v>
      </c>
      <c r="O23" s="3" t="s">
        <v>13</v>
      </c>
      <c r="P23" s="3" t="s">
        <v>93</v>
      </c>
      <c r="Q23" s="3" t="s">
        <v>3</v>
      </c>
      <c r="T23" s="5" t="s">
        <v>415</v>
      </c>
      <c r="U23" s="5"/>
      <c r="V23" s="1">
        <v>1</v>
      </c>
      <c r="W23" s="1">
        <v>1</v>
      </c>
      <c r="X23" s="1" t="s">
        <v>180</v>
      </c>
      <c r="Y23" s="1" t="s">
        <v>181</v>
      </c>
      <c r="Z23" s="1" t="s">
        <v>182</v>
      </c>
      <c r="AA23" s="1" t="s">
        <v>183</v>
      </c>
      <c r="AC23" s="1" t="s">
        <v>314</v>
      </c>
      <c r="AD23" s="1" t="s">
        <v>315</v>
      </c>
      <c r="AE23" s="1" t="s">
        <v>316</v>
      </c>
      <c r="AF23" s="1" t="s">
        <v>317</v>
      </c>
      <c r="AG23" s="1" t="s">
        <v>318</v>
      </c>
      <c r="AH23" s="1" t="s">
        <v>319</v>
      </c>
    </row>
    <row r="24" spans="1:34" s="1" customFormat="1" x14ac:dyDescent="0.3">
      <c r="A24" s="1" t="s">
        <v>19</v>
      </c>
      <c r="B24" s="1">
        <f>240706000+E24</f>
        <v>240706401</v>
      </c>
      <c r="C24" s="4">
        <v>45479</v>
      </c>
      <c r="D24" s="3" t="s">
        <v>5</v>
      </c>
      <c r="E24" s="3">
        <v>401</v>
      </c>
      <c r="F24" s="3" t="s">
        <v>6</v>
      </c>
      <c r="G24" s="3" t="s">
        <v>111</v>
      </c>
      <c r="H24" s="3" t="s">
        <v>112</v>
      </c>
      <c r="I24" s="3" t="s">
        <v>113</v>
      </c>
      <c r="J24" s="3" t="s">
        <v>1</v>
      </c>
      <c r="K24" s="4">
        <v>43100</v>
      </c>
      <c r="L24" s="3">
        <v>78</v>
      </c>
      <c r="M24" s="3">
        <v>6</v>
      </c>
      <c r="N24" s="3">
        <v>6.52</v>
      </c>
      <c r="O24" s="3" t="s">
        <v>114</v>
      </c>
      <c r="P24" s="3" t="s">
        <v>14</v>
      </c>
      <c r="Q24" s="3" t="s">
        <v>3</v>
      </c>
      <c r="T24" s="5" t="s">
        <v>415</v>
      </c>
      <c r="U24" s="5"/>
      <c r="V24" s="1">
        <v>1</v>
      </c>
      <c r="W24" s="1">
        <v>1</v>
      </c>
      <c r="Z24" s="1" t="s">
        <v>182</v>
      </c>
      <c r="AC24" s="1" t="s">
        <v>320</v>
      </c>
      <c r="AE24" s="1" t="s">
        <v>321</v>
      </c>
      <c r="AF24" s="1" t="s">
        <v>322</v>
      </c>
      <c r="AG24" s="1" t="s">
        <v>323</v>
      </c>
      <c r="AH24" s="1" t="s">
        <v>324</v>
      </c>
    </row>
    <row r="25" spans="1:34" x14ac:dyDescent="0.3">
      <c r="A25" s="1" t="s">
        <v>19</v>
      </c>
      <c r="B25" s="1">
        <f>240706000+E25</f>
        <v>240706403</v>
      </c>
      <c r="C25" s="4">
        <v>45479</v>
      </c>
      <c r="D25" s="3" t="s">
        <v>5</v>
      </c>
      <c r="E25" s="3">
        <v>403</v>
      </c>
      <c r="F25" s="3" t="s">
        <v>6</v>
      </c>
      <c r="G25" s="3" t="s">
        <v>115</v>
      </c>
      <c r="H25" s="3" t="s">
        <v>116</v>
      </c>
      <c r="I25" s="3" t="s">
        <v>117</v>
      </c>
      <c r="J25" s="3" t="s">
        <v>1</v>
      </c>
      <c r="K25" s="4">
        <v>43052</v>
      </c>
      <c r="L25" s="3">
        <v>79</v>
      </c>
      <c r="M25" s="3">
        <v>6</v>
      </c>
      <c r="N25" s="3">
        <v>6.65</v>
      </c>
      <c r="O25" s="3" t="s">
        <v>118</v>
      </c>
      <c r="P25" s="3" t="s">
        <v>119</v>
      </c>
      <c r="Q25" s="3" t="s">
        <v>3</v>
      </c>
      <c r="T25" s="5" t="s">
        <v>415</v>
      </c>
      <c r="AC25" t="s">
        <v>325</v>
      </c>
      <c r="AD25" t="s">
        <v>326</v>
      </c>
      <c r="AF25" t="s">
        <v>327</v>
      </c>
      <c r="AG25" t="s">
        <v>328</v>
      </c>
      <c r="AH25" t="s">
        <v>329</v>
      </c>
    </row>
    <row r="26" spans="1:34" x14ac:dyDescent="0.3">
      <c r="A26" s="1" t="s">
        <v>19</v>
      </c>
      <c r="B26" s="1">
        <f t="shared" ref="B26:B33" si="0">240706000+E26</f>
        <v>240706404</v>
      </c>
      <c r="C26" s="4">
        <v>45479</v>
      </c>
      <c r="D26" s="3" t="s">
        <v>5</v>
      </c>
      <c r="E26" s="3">
        <v>404</v>
      </c>
      <c r="F26" s="3" t="s">
        <v>6</v>
      </c>
      <c r="G26" s="3" t="s">
        <v>120</v>
      </c>
      <c r="H26" s="3" t="s">
        <v>121</v>
      </c>
      <c r="I26" s="3" t="s">
        <v>122</v>
      </c>
      <c r="J26" s="3" t="s">
        <v>1</v>
      </c>
      <c r="K26" s="4">
        <v>42884</v>
      </c>
      <c r="L26" s="3">
        <v>85</v>
      </c>
      <c r="M26" s="3">
        <v>7</v>
      </c>
      <c r="N26" s="3">
        <v>7.1</v>
      </c>
      <c r="O26" s="3" t="s">
        <v>42</v>
      </c>
      <c r="P26" s="3" t="s">
        <v>2</v>
      </c>
      <c r="Q26" s="3" t="s">
        <v>11</v>
      </c>
      <c r="R26" t="s">
        <v>149</v>
      </c>
      <c r="S26">
        <v>1</v>
      </c>
      <c r="T26" s="5" t="s">
        <v>415</v>
      </c>
      <c r="V26" s="1">
        <v>1</v>
      </c>
      <c r="W26" s="1">
        <v>1</v>
      </c>
      <c r="Z26" t="s">
        <v>182</v>
      </c>
      <c r="AC26" t="s">
        <v>330</v>
      </c>
      <c r="AD26" t="s">
        <v>331</v>
      </c>
      <c r="AE26" t="s">
        <v>332</v>
      </c>
      <c r="AF26" t="s">
        <v>333</v>
      </c>
      <c r="AG26" t="s">
        <v>334</v>
      </c>
      <c r="AH26" t="s">
        <v>335</v>
      </c>
    </row>
    <row r="27" spans="1:34" x14ac:dyDescent="0.3">
      <c r="A27" s="1" t="s">
        <v>19</v>
      </c>
      <c r="B27" s="1">
        <f t="shared" si="0"/>
        <v>240706501</v>
      </c>
      <c r="C27" s="4">
        <v>45479</v>
      </c>
      <c r="D27" s="3" t="s">
        <v>12</v>
      </c>
      <c r="E27" s="3">
        <v>501</v>
      </c>
      <c r="F27" s="3" t="s">
        <v>6</v>
      </c>
      <c r="G27" s="3" t="s">
        <v>123</v>
      </c>
      <c r="H27" s="3" t="s">
        <v>124</v>
      </c>
      <c r="I27" s="3" t="s">
        <v>125</v>
      </c>
      <c r="J27" s="3" t="s">
        <v>1</v>
      </c>
      <c r="K27" s="4">
        <v>42466</v>
      </c>
      <c r="L27" s="3">
        <v>99</v>
      </c>
      <c r="M27" s="3">
        <v>8</v>
      </c>
      <c r="N27" s="3">
        <v>8.25</v>
      </c>
      <c r="O27" s="3" t="s">
        <v>114</v>
      </c>
      <c r="P27" s="3" t="s">
        <v>14</v>
      </c>
      <c r="Q27" s="3" t="s">
        <v>3</v>
      </c>
      <c r="T27" s="5" t="s">
        <v>415</v>
      </c>
      <c r="Z27" t="s">
        <v>182</v>
      </c>
      <c r="AC27" t="s">
        <v>336</v>
      </c>
      <c r="AD27" t="s">
        <v>337</v>
      </c>
      <c r="AE27" t="s">
        <v>338</v>
      </c>
      <c r="AF27" t="s">
        <v>339</v>
      </c>
      <c r="AG27" t="s">
        <v>340</v>
      </c>
      <c r="AH27" t="s">
        <v>341</v>
      </c>
    </row>
    <row r="28" spans="1:34" x14ac:dyDescent="0.3">
      <c r="A28" s="1" t="s">
        <v>19</v>
      </c>
      <c r="B28" s="1">
        <f t="shared" si="0"/>
        <v>240706503</v>
      </c>
      <c r="C28" s="4">
        <v>45479</v>
      </c>
      <c r="D28" s="3" t="s">
        <v>12</v>
      </c>
      <c r="E28" s="3">
        <v>503</v>
      </c>
      <c r="F28" s="3" t="s">
        <v>6</v>
      </c>
      <c r="G28" s="3" t="s">
        <v>126</v>
      </c>
      <c r="H28" s="3" t="s">
        <v>127</v>
      </c>
      <c r="I28" s="3" t="s">
        <v>128</v>
      </c>
      <c r="J28" s="3" t="s">
        <v>1</v>
      </c>
      <c r="K28" s="4">
        <v>42685</v>
      </c>
      <c r="L28" s="3">
        <v>91</v>
      </c>
      <c r="M28" s="3">
        <v>7</v>
      </c>
      <c r="N28" s="3">
        <v>7.65</v>
      </c>
      <c r="O28" s="3" t="s">
        <v>118</v>
      </c>
      <c r="P28" s="3" t="s">
        <v>119</v>
      </c>
      <c r="Q28" s="3" t="s">
        <v>3</v>
      </c>
      <c r="T28" s="5" t="s">
        <v>415</v>
      </c>
      <c r="Z28" t="s">
        <v>182</v>
      </c>
      <c r="AE28" t="s">
        <v>342</v>
      </c>
      <c r="AF28" t="s">
        <v>343</v>
      </c>
      <c r="AG28" t="s">
        <v>344</v>
      </c>
      <c r="AH28" t="s">
        <v>345</v>
      </c>
    </row>
    <row r="29" spans="1:34" x14ac:dyDescent="0.3">
      <c r="A29" s="1" t="s">
        <v>19</v>
      </c>
      <c r="B29" s="1">
        <f t="shared" si="0"/>
        <v>240706504</v>
      </c>
      <c r="C29" s="4">
        <v>45479</v>
      </c>
      <c r="D29" s="3" t="s">
        <v>12</v>
      </c>
      <c r="E29" s="3">
        <v>504</v>
      </c>
      <c r="F29" s="3" t="s">
        <v>6</v>
      </c>
      <c r="G29" s="3" t="s">
        <v>129</v>
      </c>
      <c r="H29" s="3" t="s">
        <v>130</v>
      </c>
      <c r="I29" s="3" t="s">
        <v>131</v>
      </c>
      <c r="J29" s="3" t="s">
        <v>1</v>
      </c>
      <c r="K29" s="4">
        <v>43050</v>
      </c>
      <c r="L29" s="3">
        <v>79</v>
      </c>
      <c r="M29" s="3">
        <v>6</v>
      </c>
      <c r="N29" s="3">
        <v>6.65</v>
      </c>
      <c r="O29" s="3" t="s">
        <v>42</v>
      </c>
      <c r="P29" s="3" t="s">
        <v>2</v>
      </c>
      <c r="Q29" s="3" t="s">
        <v>11</v>
      </c>
      <c r="R29" t="s">
        <v>148</v>
      </c>
      <c r="S29">
        <v>1</v>
      </c>
      <c r="T29" s="6" t="s">
        <v>416</v>
      </c>
      <c r="U29" s="6" t="s">
        <v>408</v>
      </c>
      <c r="X29" t="s">
        <v>271</v>
      </c>
      <c r="Z29" t="s">
        <v>182</v>
      </c>
      <c r="AA29" t="s">
        <v>346</v>
      </c>
      <c r="AC29" t="s">
        <v>347</v>
      </c>
      <c r="AD29" t="s">
        <v>348</v>
      </c>
      <c r="AE29" t="s">
        <v>349</v>
      </c>
      <c r="AF29" t="s">
        <v>350</v>
      </c>
      <c r="AG29" t="s">
        <v>351</v>
      </c>
      <c r="AH29" t="s">
        <v>335</v>
      </c>
    </row>
    <row r="30" spans="1:34" x14ac:dyDescent="0.3">
      <c r="A30" s="1" t="s">
        <v>19</v>
      </c>
      <c r="B30" s="1">
        <f t="shared" si="0"/>
        <v>240706505</v>
      </c>
      <c r="C30" s="4">
        <v>45479</v>
      </c>
      <c r="D30" s="3" t="s">
        <v>12</v>
      </c>
      <c r="E30" s="3">
        <v>505</v>
      </c>
      <c r="F30" s="3" t="s">
        <v>8</v>
      </c>
      <c r="G30" s="3" t="s">
        <v>132</v>
      </c>
      <c r="H30" s="3" t="s">
        <v>133</v>
      </c>
      <c r="I30" s="3" t="s">
        <v>134</v>
      </c>
      <c r="J30" s="3" t="s">
        <v>1</v>
      </c>
      <c r="K30" s="4">
        <v>43325</v>
      </c>
      <c r="L30" s="3">
        <v>70</v>
      </c>
      <c r="M30" s="3">
        <v>5</v>
      </c>
      <c r="N30" s="3">
        <v>5.9</v>
      </c>
      <c r="O30" s="3" t="s">
        <v>135</v>
      </c>
      <c r="P30" s="3" t="s">
        <v>136</v>
      </c>
      <c r="Q30" s="3" t="s">
        <v>137</v>
      </c>
      <c r="T30" s="6" t="s">
        <v>414</v>
      </c>
      <c r="U30" s="6" t="s">
        <v>413</v>
      </c>
      <c r="X30" t="s">
        <v>271</v>
      </c>
      <c r="AA30" t="s">
        <v>352</v>
      </c>
      <c r="AC30" t="s">
        <v>353</v>
      </c>
      <c r="AD30" t="s">
        <v>354</v>
      </c>
      <c r="AE30" t="s">
        <v>355</v>
      </c>
      <c r="AF30" t="s">
        <v>356</v>
      </c>
      <c r="AG30" t="s">
        <v>356</v>
      </c>
      <c r="AH30" t="s">
        <v>357</v>
      </c>
    </row>
    <row r="31" spans="1:34" x14ac:dyDescent="0.3">
      <c r="A31" s="1" t="s">
        <v>19</v>
      </c>
      <c r="B31" s="1">
        <f t="shared" si="0"/>
        <v>240706601</v>
      </c>
      <c r="C31" s="4">
        <v>45479</v>
      </c>
      <c r="D31" s="3" t="s">
        <v>16</v>
      </c>
      <c r="E31" s="3">
        <v>601</v>
      </c>
      <c r="F31" s="3" t="s">
        <v>6</v>
      </c>
      <c r="G31" s="3" t="s">
        <v>138</v>
      </c>
      <c r="H31" s="3" t="s">
        <v>139</v>
      </c>
      <c r="I31" s="3" t="s">
        <v>140</v>
      </c>
      <c r="J31" s="3" t="s">
        <v>4</v>
      </c>
      <c r="K31" s="4">
        <v>43232</v>
      </c>
      <c r="L31" s="3">
        <v>73</v>
      </c>
      <c r="M31" s="3">
        <v>6</v>
      </c>
      <c r="N31" s="3">
        <v>6.15</v>
      </c>
      <c r="O31" s="3" t="s">
        <v>114</v>
      </c>
      <c r="P31" s="3" t="s">
        <v>14</v>
      </c>
      <c r="Q31" s="3" t="s">
        <v>3</v>
      </c>
      <c r="T31" s="6" t="s">
        <v>415</v>
      </c>
      <c r="Z31" t="s">
        <v>182</v>
      </c>
      <c r="AC31" t="s">
        <v>358</v>
      </c>
      <c r="AE31" t="s">
        <v>359</v>
      </c>
      <c r="AF31" t="s">
        <v>360</v>
      </c>
      <c r="AG31" t="s">
        <v>361</v>
      </c>
      <c r="AH31" t="s">
        <v>362</v>
      </c>
    </row>
    <row r="32" spans="1:34" x14ac:dyDescent="0.3">
      <c r="A32" s="1" t="s">
        <v>19</v>
      </c>
      <c r="B32" s="1">
        <f t="shared" si="0"/>
        <v>240706603</v>
      </c>
      <c r="C32" s="4">
        <v>45479</v>
      </c>
      <c r="D32" s="3" t="s">
        <v>16</v>
      </c>
      <c r="E32" s="3">
        <v>603</v>
      </c>
      <c r="F32" s="3" t="s">
        <v>6</v>
      </c>
      <c r="G32" s="3" t="s">
        <v>141</v>
      </c>
      <c r="H32" s="3" t="s">
        <v>142</v>
      </c>
      <c r="I32" s="3" t="s">
        <v>143</v>
      </c>
      <c r="J32" s="3" t="s">
        <v>4</v>
      </c>
      <c r="K32" s="4">
        <v>43045</v>
      </c>
      <c r="L32" s="3">
        <v>80</v>
      </c>
      <c r="M32" s="3">
        <v>6</v>
      </c>
      <c r="N32" s="3">
        <v>6.67</v>
      </c>
      <c r="O32" s="3" t="s">
        <v>118</v>
      </c>
      <c r="P32" s="3" t="s">
        <v>119</v>
      </c>
      <c r="Q32" s="3" t="s">
        <v>3</v>
      </c>
      <c r="T32" s="6" t="s">
        <v>539</v>
      </c>
      <c r="Z32" t="s">
        <v>182</v>
      </c>
      <c r="AC32" t="s">
        <v>363</v>
      </c>
      <c r="AD32" t="s">
        <v>364</v>
      </c>
      <c r="AE32" t="s">
        <v>365</v>
      </c>
      <c r="AF32" t="s">
        <v>366</v>
      </c>
      <c r="AG32" t="s">
        <v>235</v>
      </c>
      <c r="AH32" t="s">
        <v>367</v>
      </c>
    </row>
    <row r="33" spans="1:34" x14ac:dyDescent="0.3">
      <c r="A33" s="1" t="s">
        <v>19</v>
      </c>
      <c r="B33" s="1">
        <f t="shared" si="0"/>
        <v>240706604</v>
      </c>
      <c r="C33" s="4">
        <v>45479</v>
      </c>
      <c r="D33" s="3" t="s">
        <v>16</v>
      </c>
      <c r="E33" s="3">
        <v>604</v>
      </c>
      <c r="F33" s="3" t="s">
        <v>6</v>
      </c>
      <c r="G33" s="3" t="s">
        <v>144</v>
      </c>
      <c r="H33" s="3" t="s">
        <v>145</v>
      </c>
      <c r="I33" s="3" t="s">
        <v>146</v>
      </c>
      <c r="J33" s="3" t="s">
        <v>4</v>
      </c>
      <c r="K33" s="4">
        <v>42986</v>
      </c>
      <c r="L33" s="3">
        <v>81</v>
      </c>
      <c r="M33" s="3">
        <v>6</v>
      </c>
      <c r="N33" s="3">
        <v>6.83</v>
      </c>
      <c r="O33" s="3" t="s">
        <v>42</v>
      </c>
      <c r="P33" s="3" t="s">
        <v>2</v>
      </c>
      <c r="Q33" s="3" t="s">
        <v>11</v>
      </c>
      <c r="T33" s="6" t="s">
        <v>415</v>
      </c>
      <c r="Z33" t="s">
        <v>182</v>
      </c>
      <c r="AC33" t="s">
        <v>363</v>
      </c>
      <c r="AD33" t="s">
        <v>368</v>
      </c>
      <c r="AE33" t="s">
        <v>369</v>
      </c>
      <c r="AF33" t="s">
        <v>370</v>
      </c>
      <c r="AG33" t="s">
        <v>371</v>
      </c>
      <c r="AH33" t="s">
        <v>372</v>
      </c>
    </row>
    <row r="34" spans="1:34" x14ac:dyDescent="0.3">
      <c r="A34" s="1" t="s">
        <v>19</v>
      </c>
      <c r="B34" s="1">
        <f>240713000+E34</f>
        <v>240713501</v>
      </c>
      <c r="C34" s="4">
        <v>45486</v>
      </c>
      <c r="D34" s="3" t="s">
        <v>12</v>
      </c>
      <c r="E34" s="3">
        <v>501</v>
      </c>
      <c r="F34" s="3" t="s">
        <v>8</v>
      </c>
      <c r="G34" s="3" t="s">
        <v>150</v>
      </c>
      <c r="H34" s="3" t="s">
        <v>151</v>
      </c>
      <c r="I34" s="3" t="s">
        <v>152</v>
      </c>
      <c r="J34" s="3" t="s">
        <v>4</v>
      </c>
      <c r="K34" s="4">
        <v>42002</v>
      </c>
      <c r="L34" s="3">
        <v>114</v>
      </c>
      <c r="M34" s="3">
        <v>9</v>
      </c>
      <c r="N34" s="3">
        <v>9.5399999999999991</v>
      </c>
      <c r="O34" s="3" t="s">
        <v>135</v>
      </c>
      <c r="P34" s="3" t="s">
        <v>14</v>
      </c>
      <c r="Q34" s="3" t="s">
        <v>3</v>
      </c>
      <c r="T34" s="6" t="s">
        <v>417</v>
      </c>
      <c r="U34" s="6">
        <v>1000</v>
      </c>
      <c r="Y34" t="s">
        <v>373</v>
      </c>
      <c r="Z34" t="s">
        <v>182</v>
      </c>
      <c r="AC34" t="s">
        <v>374</v>
      </c>
      <c r="AD34" t="s">
        <v>375</v>
      </c>
      <c r="AE34" t="s">
        <v>376</v>
      </c>
      <c r="AF34" t="s">
        <v>377</v>
      </c>
      <c r="AG34" t="s">
        <v>378</v>
      </c>
      <c r="AH34" t="s">
        <v>379</v>
      </c>
    </row>
    <row r="35" spans="1:34" x14ac:dyDescent="0.3">
      <c r="A35" s="1" t="s">
        <v>19</v>
      </c>
      <c r="B35" s="1">
        <f>240713000+E35</f>
        <v>240713503</v>
      </c>
      <c r="C35" s="4">
        <v>45486</v>
      </c>
      <c r="D35" s="3" t="s">
        <v>12</v>
      </c>
      <c r="E35" s="3">
        <v>503</v>
      </c>
      <c r="F35" s="3" t="s">
        <v>6</v>
      </c>
      <c r="G35" s="3" t="s">
        <v>153</v>
      </c>
      <c r="H35" s="3" t="s">
        <v>154</v>
      </c>
      <c r="I35" s="3" t="s">
        <v>155</v>
      </c>
      <c r="J35" s="3" t="s">
        <v>4</v>
      </c>
      <c r="K35" s="4">
        <v>42417</v>
      </c>
      <c r="L35" s="3">
        <v>100</v>
      </c>
      <c r="M35" s="3">
        <v>8</v>
      </c>
      <c r="N35" s="3">
        <v>8.41</v>
      </c>
      <c r="O35" s="3" t="s">
        <v>118</v>
      </c>
      <c r="P35" s="3" t="s">
        <v>119</v>
      </c>
      <c r="Q35" s="3" t="s">
        <v>11</v>
      </c>
      <c r="T35" s="6" t="s">
        <v>415</v>
      </c>
      <c r="Y35" t="s">
        <v>181</v>
      </c>
      <c r="Z35" t="s">
        <v>182</v>
      </c>
      <c r="AC35" t="s">
        <v>380</v>
      </c>
      <c r="AD35" t="s">
        <v>381</v>
      </c>
      <c r="AE35" t="s">
        <v>382</v>
      </c>
      <c r="AF35" t="s">
        <v>383</v>
      </c>
      <c r="AG35" t="s">
        <v>384</v>
      </c>
      <c r="AH35" t="s">
        <v>385</v>
      </c>
    </row>
    <row r="36" spans="1:34" x14ac:dyDescent="0.3">
      <c r="A36" s="1" t="s">
        <v>19</v>
      </c>
      <c r="B36" s="1">
        <f t="shared" ref="B36:B39" si="1">240713000+E36</f>
        <v>240713504</v>
      </c>
      <c r="C36" s="2">
        <v>45486</v>
      </c>
      <c r="D36" t="s">
        <v>12</v>
      </c>
      <c r="E36">
        <v>504</v>
      </c>
      <c r="F36" t="s">
        <v>6</v>
      </c>
      <c r="G36" t="s">
        <v>156</v>
      </c>
      <c r="H36" t="s">
        <v>157</v>
      </c>
      <c r="I36" t="s">
        <v>158</v>
      </c>
      <c r="J36" t="s">
        <v>4</v>
      </c>
      <c r="K36" s="2">
        <v>42859</v>
      </c>
      <c r="L36">
        <v>86</v>
      </c>
      <c r="M36">
        <v>7</v>
      </c>
      <c r="N36">
        <v>7.19</v>
      </c>
      <c r="O36" t="s">
        <v>42</v>
      </c>
      <c r="P36" t="s">
        <v>2</v>
      </c>
      <c r="Q36" t="s">
        <v>3</v>
      </c>
      <c r="T36" s="6" t="s">
        <v>415</v>
      </c>
      <c r="Y36" t="s">
        <v>181</v>
      </c>
      <c r="Z36" t="s">
        <v>182</v>
      </c>
      <c r="AC36" t="s">
        <v>386</v>
      </c>
      <c r="AD36" t="s">
        <v>387</v>
      </c>
      <c r="AE36" t="s">
        <v>388</v>
      </c>
      <c r="AF36" t="s">
        <v>389</v>
      </c>
      <c r="AG36" t="s">
        <v>390</v>
      </c>
      <c r="AH36" t="s">
        <v>391</v>
      </c>
    </row>
    <row r="37" spans="1:34" x14ac:dyDescent="0.3">
      <c r="A37" s="1" t="s">
        <v>19</v>
      </c>
      <c r="B37" s="1">
        <f t="shared" si="1"/>
        <v>240713505</v>
      </c>
      <c r="C37" s="2">
        <v>45486</v>
      </c>
      <c r="D37" t="s">
        <v>12</v>
      </c>
      <c r="E37">
        <v>505</v>
      </c>
      <c r="F37" t="s">
        <v>6</v>
      </c>
      <c r="G37" t="s">
        <v>159</v>
      </c>
      <c r="H37" t="s">
        <v>157</v>
      </c>
      <c r="I37" t="s">
        <v>158</v>
      </c>
      <c r="J37" t="s">
        <v>4</v>
      </c>
      <c r="K37" s="2">
        <v>42831</v>
      </c>
      <c r="L37">
        <v>87</v>
      </c>
      <c r="M37">
        <v>7</v>
      </c>
      <c r="N37">
        <v>7.27</v>
      </c>
      <c r="O37" t="s">
        <v>160</v>
      </c>
      <c r="P37" t="s">
        <v>136</v>
      </c>
      <c r="Q37" t="s">
        <v>11</v>
      </c>
      <c r="T37" s="6" t="s">
        <v>415</v>
      </c>
      <c r="Y37" t="s">
        <v>181</v>
      </c>
      <c r="Z37" t="s">
        <v>182</v>
      </c>
      <c r="AC37" t="s">
        <v>392</v>
      </c>
      <c r="AE37" t="s">
        <v>393</v>
      </c>
      <c r="AF37" t="s">
        <v>394</v>
      </c>
      <c r="AG37" t="s">
        <v>395</v>
      </c>
      <c r="AH37" t="s">
        <v>396</v>
      </c>
    </row>
    <row r="38" spans="1:34" x14ac:dyDescent="0.3">
      <c r="A38" s="1" t="s">
        <v>19</v>
      </c>
      <c r="B38" s="1">
        <f t="shared" si="1"/>
        <v>240713603</v>
      </c>
      <c r="C38" s="2">
        <v>45486</v>
      </c>
      <c r="D38" t="s">
        <v>16</v>
      </c>
      <c r="E38">
        <v>603</v>
      </c>
      <c r="F38" t="s">
        <v>6</v>
      </c>
      <c r="G38" t="s">
        <v>161</v>
      </c>
      <c r="H38" t="s">
        <v>162</v>
      </c>
      <c r="I38" t="s">
        <v>163</v>
      </c>
      <c r="J38" t="s">
        <v>4</v>
      </c>
      <c r="K38" s="2">
        <v>42801</v>
      </c>
      <c r="L38">
        <v>88</v>
      </c>
      <c r="M38">
        <v>7</v>
      </c>
      <c r="N38">
        <v>7.35</v>
      </c>
      <c r="O38" t="s">
        <v>118</v>
      </c>
      <c r="P38" t="s">
        <v>119</v>
      </c>
      <c r="Q38" t="s">
        <v>11</v>
      </c>
      <c r="T38" s="6" t="s">
        <v>415</v>
      </c>
      <c r="Y38" t="s">
        <v>181</v>
      </c>
      <c r="Z38" t="s">
        <v>182</v>
      </c>
      <c r="AC38" t="s">
        <v>397</v>
      </c>
      <c r="AD38" t="s">
        <v>398</v>
      </c>
      <c r="AE38" t="s">
        <v>399</v>
      </c>
      <c r="AF38" t="s">
        <v>400</v>
      </c>
      <c r="AG38" t="s">
        <v>401</v>
      </c>
    </row>
    <row r="39" spans="1:34" x14ac:dyDescent="0.3">
      <c r="A39" s="1" t="s">
        <v>19</v>
      </c>
      <c r="B39" s="1">
        <f t="shared" si="1"/>
        <v>240713605</v>
      </c>
      <c r="C39" s="2">
        <v>45486</v>
      </c>
      <c r="D39" t="s">
        <v>16</v>
      </c>
      <c r="E39">
        <v>605</v>
      </c>
      <c r="F39" t="s">
        <v>6</v>
      </c>
      <c r="G39" t="s">
        <v>164</v>
      </c>
      <c r="H39" t="s">
        <v>162</v>
      </c>
      <c r="I39" t="s">
        <v>163</v>
      </c>
      <c r="J39" t="s">
        <v>4</v>
      </c>
      <c r="K39" s="2">
        <v>42801</v>
      </c>
      <c r="L39">
        <v>88</v>
      </c>
      <c r="M39">
        <v>7</v>
      </c>
      <c r="N39">
        <v>7.35</v>
      </c>
      <c r="O39" t="s">
        <v>42</v>
      </c>
      <c r="P39" t="s">
        <v>2</v>
      </c>
      <c r="Q39" t="s">
        <v>3</v>
      </c>
      <c r="T39" s="6" t="s">
        <v>415</v>
      </c>
      <c r="Y39" t="s">
        <v>181</v>
      </c>
      <c r="Z39" t="s">
        <v>182</v>
      </c>
      <c r="AC39" t="s">
        <v>397</v>
      </c>
      <c r="AD39" t="s">
        <v>402</v>
      </c>
      <c r="AE39" t="s">
        <v>403</v>
      </c>
      <c r="AF39" t="s">
        <v>404</v>
      </c>
      <c r="AG39" t="s">
        <v>405</v>
      </c>
      <c r="AH39" t="s">
        <v>406</v>
      </c>
    </row>
    <row r="40" spans="1:34" x14ac:dyDescent="0.3">
      <c r="A40" t="s">
        <v>19</v>
      </c>
      <c r="B40" s="1">
        <f>240720000+E40</f>
        <v>240720401</v>
      </c>
      <c r="C40" s="2">
        <v>45493</v>
      </c>
      <c r="D40" t="s">
        <v>5</v>
      </c>
      <c r="E40">
        <v>401</v>
      </c>
      <c r="F40" t="s">
        <v>6</v>
      </c>
      <c r="G40" t="s">
        <v>418</v>
      </c>
      <c r="H40" t="s">
        <v>419</v>
      </c>
      <c r="I40" t="s">
        <v>420</v>
      </c>
      <c r="J40" t="s">
        <v>4</v>
      </c>
      <c r="K40" s="2">
        <v>42851</v>
      </c>
      <c r="L40">
        <v>86</v>
      </c>
      <c r="M40">
        <v>7</v>
      </c>
      <c r="N40">
        <v>7.23</v>
      </c>
      <c r="O40" t="s">
        <v>114</v>
      </c>
      <c r="P40" t="s">
        <v>421</v>
      </c>
      <c r="Q40" t="s">
        <v>11</v>
      </c>
      <c r="T40" s="6" t="s">
        <v>415</v>
      </c>
      <c r="Y40" t="s">
        <v>575</v>
      </c>
      <c r="Z40" t="s">
        <v>576</v>
      </c>
      <c r="AA40" t="s">
        <v>577</v>
      </c>
      <c r="AC40" t="s">
        <v>578</v>
      </c>
      <c r="AD40" t="s">
        <v>577</v>
      </c>
      <c r="AE40" t="s">
        <v>579</v>
      </c>
      <c r="AF40" t="s">
        <v>580</v>
      </c>
      <c r="AG40" t="s">
        <v>581</v>
      </c>
      <c r="AH40" t="s">
        <v>582</v>
      </c>
    </row>
    <row r="41" spans="1:34" x14ac:dyDescent="0.3">
      <c r="A41" t="s">
        <v>19</v>
      </c>
      <c r="B41" s="1">
        <f t="shared" ref="B41:B42" si="2">240720000+E41</f>
        <v>240720403</v>
      </c>
      <c r="C41" s="2">
        <v>45493</v>
      </c>
      <c r="D41" t="s">
        <v>5</v>
      </c>
      <c r="E41">
        <v>403</v>
      </c>
      <c r="F41" t="s">
        <v>6</v>
      </c>
      <c r="G41" t="s">
        <v>422</v>
      </c>
      <c r="H41" t="s">
        <v>423</v>
      </c>
      <c r="I41" t="s">
        <v>424</v>
      </c>
      <c r="J41" t="s">
        <v>1</v>
      </c>
      <c r="K41" s="2">
        <v>42339</v>
      </c>
      <c r="L41">
        <v>103</v>
      </c>
      <c r="M41">
        <v>8</v>
      </c>
      <c r="N41">
        <v>8.64</v>
      </c>
      <c r="O41" t="s">
        <v>118</v>
      </c>
      <c r="P41" t="s">
        <v>119</v>
      </c>
      <c r="Q41" t="s">
        <v>11</v>
      </c>
      <c r="T41" s="6" t="s">
        <v>415</v>
      </c>
      <c r="Y41" t="s">
        <v>575</v>
      </c>
      <c r="Z41" t="s">
        <v>182</v>
      </c>
      <c r="AC41" t="s">
        <v>583</v>
      </c>
      <c r="AE41" t="s">
        <v>584</v>
      </c>
      <c r="AF41" t="s">
        <v>585</v>
      </c>
      <c r="AG41" t="s">
        <v>351</v>
      </c>
      <c r="AH41" t="s">
        <v>586</v>
      </c>
    </row>
    <row r="42" spans="1:34" x14ac:dyDescent="0.3">
      <c r="A42" t="s">
        <v>19</v>
      </c>
      <c r="B42" s="1">
        <f t="shared" si="2"/>
        <v>240720404</v>
      </c>
      <c r="C42" s="2">
        <v>45493</v>
      </c>
      <c r="D42" t="s">
        <v>5</v>
      </c>
      <c r="E42">
        <v>404</v>
      </c>
      <c r="F42" t="s">
        <v>6</v>
      </c>
      <c r="G42" t="s">
        <v>425</v>
      </c>
      <c r="H42" t="s">
        <v>426</v>
      </c>
      <c r="I42" t="s">
        <v>427</v>
      </c>
      <c r="J42" t="s">
        <v>4</v>
      </c>
      <c r="K42" s="2">
        <v>42997</v>
      </c>
      <c r="L42">
        <v>82</v>
      </c>
      <c r="M42">
        <v>6</v>
      </c>
      <c r="N42">
        <v>6.84</v>
      </c>
      <c r="O42" t="s">
        <v>428</v>
      </c>
      <c r="P42" t="s">
        <v>2</v>
      </c>
      <c r="Q42" t="s">
        <v>11</v>
      </c>
      <c r="T42" s="6" t="s">
        <v>415</v>
      </c>
      <c r="Y42" t="s">
        <v>181</v>
      </c>
      <c r="Z42" t="s">
        <v>182</v>
      </c>
      <c r="AC42" t="s">
        <v>587</v>
      </c>
      <c r="AD42" t="s">
        <v>588</v>
      </c>
      <c r="AE42" t="s">
        <v>589</v>
      </c>
      <c r="AF42" t="s">
        <v>590</v>
      </c>
      <c r="AG42" t="s">
        <v>591</v>
      </c>
      <c r="AH42" t="s">
        <v>592</v>
      </c>
    </row>
    <row r="43" spans="1:34" x14ac:dyDescent="0.3">
      <c r="A43" s="1" t="s">
        <v>19</v>
      </c>
      <c r="B43" s="1">
        <f>240817000+E43</f>
        <v>240817301</v>
      </c>
      <c r="C43" s="2">
        <v>45521</v>
      </c>
      <c r="D43" t="s">
        <v>26</v>
      </c>
      <c r="E43">
        <v>301</v>
      </c>
      <c r="F43" t="s">
        <v>6</v>
      </c>
      <c r="G43" t="s">
        <v>429</v>
      </c>
      <c r="H43" t="s">
        <v>430</v>
      </c>
      <c r="I43" t="s">
        <v>431</v>
      </c>
      <c r="J43" t="s">
        <v>1</v>
      </c>
      <c r="K43" s="2">
        <v>43585</v>
      </c>
      <c r="L43">
        <v>63</v>
      </c>
      <c r="M43">
        <v>5</v>
      </c>
      <c r="N43">
        <v>5.3</v>
      </c>
      <c r="O43" t="s">
        <v>114</v>
      </c>
      <c r="P43" t="s">
        <v>421</v>
      </c>
      <c r="T43" s="6" t="s">
        <v>415</v>
      </c>
      <c r="Y43" t="s">
        <v>181</v>
      </c>
      <c r="Z43" t="s">
        <v>182</v>
      </c>
      <c r="AC43" t="s">
        <v>593</v>
      </c>
      <c r="AD43" t="s">
        <v>594</v>
      </c>
      <c r="AE43" t="s">
        <v>595</v>
      </c>
      <c r="AF43" t="s">
        <v>596</v>
      </c>
      <c r="AG43" t="s">
        <v>597</v>
      </c>
      <c r="AH43" t="s">
        <v>598</v>
      </c>
    </row>
    <row r="44" spans="1:34" x14ac:dyDescent="0.3">
      <c r="A44" t="s">
        <v>19</v>
      </c>
      <c r="B44" s="1">
        <f t="shared" ref="B44:B46" si="3">240817000+E44</f>
        <v>240817501</v>
      </c>
      <c r="C44" s="2">
        <v>45521</v>
      </c>
      <c r="D44" t="s">
        <v>12</v>
      </c>
      <c r="E44">
        <v>501</v>
      </c>
      <c r="F44" t="s">
        <v>6</v>
      </c>
      <c r="G44" t="s">
        <v>432</v>
      </c>
      <c r="H44" t="s">
        <v>433</v>
      </c>
      <c r="I44" t="s">
        <v>434</v>
      </c>
      <c r="J44" t="s">
        <v>1</v>
      </c>
      <c r="K44" s="2">
        <v>42537</v>
      </c>
      <c r="L44">
        <v>98</v>
      </c>
      <c r="M44">
        <v>8</v>
      </c>
      <c r="N44">
        <v>8.17</v>
      </c>
      <c r="O44" t="s">
        <v>114</v>
      </c>
      <c r="P44" t="s">
        <v>421</v>
      </c>
      <c r="R44" t="s">
        <v>442</v>
      </c>
      <c r="T44" s="6" t="s">
        <v>415</v>
      </c>
      <c r="Y44" t="s">
        <v>181</v>
      </c>
      <c r="Z44" t="s">
        <v>182</v>
      </c>
      <c r="AA44" t="s">
        <v>599</v>
      </c>
      <c r="AC44" t="s">
        <v>600</v>
      </c>
      <c r="AD44" t="s">
        <v>601</v>
      </c>
      <c r="AE44" t="s">
        <v>602</v>
      </c>
      <c r="AF44" t="s">
        <v>603</v>
      </c>
      <c r="AG44" t="s">
        <v>604</v>
      </c>
      <c r="AH44" t="s">
        <v>605</v>
      </c>
    </row>
    <row r="45" spans="1:34" x14ac:dyDescent="0.3">
      <c r="A45" t="s">
        <v>19</v>
      </c>
      <c r="B45" s="1">
        <f t="shared" si="3"/>
        <v>240817601</v>
      </c>
      <c r="C45" s="2">
        <v>45521</v>
      </c>
      <c r="D45" t="s">
        <v>16</v>
      </c>
      <c r="E45">
        <v>601</v>
      </c>
      <c r="F45" t="s">
        <v>6</v>
      </c>
      <c r="G45" t="s">
        <v>435</v>
      </c>
      <c r="H45" t="s">
        <v>436</v>
      </c>
      <c r="I45" t="s">
        <v>437</v>
      </c>
      <c r="J45" t="s">
        <v>1</v>
      </c>
      <c r="K45" s="2">
        <v>42968</v>
      </c>
      <c r="L45">
        <v>83</v>
      </c>
      <c r="M45">
        <v>6</v>
      </c>
      <c r="N45">
        <v>6.99</v>
      </c>
      <c r="O45" t="s">
        <v>114</v>
      </c>
      <c r="P45" t="s">
        <v>421</v>
      </c>
      <c r="T45" s="6" t="s">
        <v>415</v>
      </c>
      <c r="Y45" t="s">
        <v>181</v>
      </c>
      <c r="Z45" t="s">
        <v>182</v>
      </c>
      <c r="AA45" t="s">
        <v>606</v>
      </c>
      <c r="AC45" t="s">
        <v>607</v>
      </c>
      <c r="AD45" t="s">
        <v>608</v>
      </c>
      <c r="AE45" t="s">
        <v>609</v>
      </c>
      <c r="AF45" t="s">
        <v>610</v>
      </c>
      <c r="AG45" t="s">
        <v>611</v>
      </c>
      <c r="AH45" t="s">
        <v>612</v>
      </c>
    </row>
    <row r="46" spans="1:34" x14ac:dyDescent="0.3">
      <c r="A46" t="s">
        <v>19</v>
      </c>
      <c r="B46" s="1">
        <f t="shared" si="3"/>
        <v>240817604</v>
      </c>
      <c r="C46" s="2">
        <v>45521</v>
      </c>
      <c r="D46" t="s">
        <v>16</v>
      </c>
      <c r="E46">
        <v>604</v>
      </c>
      <c r="F46" t="s">
        <v>8</v>
      </c>
      <c r="G46" t="s">
        <v>438</v>
      </c>
      <c r="H46" t="s">
        <v>439</v>
      </c>
      <c r="I46" t="s">
        <v>440</v>
      </c>
      <c r="J46" t="s">
        <v>4</v>
      </c>
      <c r="K46" s="2">
        <v>43486</v>
      </c>
      <c r="L46">
        <v>66</v>
      </c>
      <c r="M46">
        <v>5</v>
      </c>
      <c r="N46">
        <v>5.57</v>
      </c>
      <c r="O46" t="s">
        <v>42</v>
      </c>
      <c r="P46" t="s">
        <v>441</v>
      </c>
      <c r="T46" s="6" t="s">
        <v>415</v>
      </c>
      <c r="Y46" t="s">
        <v>181</v>
      </c>
      <c r="Z46" t="s">
        <v>182</v>
      </c>
      <c r="AA46" t="s">
        <v>613</v>
      </c>
      <c r="AC46" t="s">
        <v>614</v>
      </c>
      <c r="AD46" t="s">
        <v>615</v>
      </c>
      <c r="AE46" t="s">
        <v>616</v>
      </c>
      <c r="AF46" t="s">
        <v>617</v>
      </c>
      <c r="AG46" t="s">
        <v>618</v>
      </c>
      <c r="AH46" t="s">
        <v>619</v>
      </c>
    </row>
    <row r="47" spans="1:34" x14ac:dyDescent="0.3">
      <c r="A47" t="s">
        <v>19</v>
      </c>
      <c r="B47" s="1">
        <f>240824000+E47</f>
        <v>240824301</v>
      </c>
      <c r="C47" s="2">
        <v>45528</v>
      </c>
      <c r="D47" t="s">
        <v>26</v>
      </c>
      <c r="E47">
        <v>301</v>
      </c>
      <c r="F47" t="s">
        <v>6</v>
      </c>
      <c r="G47" t="s">
        <v>443</v>
      </c>
      <c r="H47" t="s">
        <v>444</v>
      </c>
      <c r="I47" t="s">
        <v>445</v>
      </c>
      <c r="J47" t="s">
        <v>4</v>
      </c>
      <c r="K47" s="2">
        <v>43435</v>
      </c>
      <c r="L47">
        <v>68</v>
      </c>
      <c r="M47">
        <v>5</v>
      </c>
      <c r="N47">
        <v>5.73</v>
      </c>
      <c r="O47" t="s">
        <v>15</v>
      </c>
      <c r="P47" t="s">
        <v>446</v>
      </c>
      <c r="S47" s="6"/>
      <c r="T47" s="6" t="s">
        <v>415</v>
      </c>
      <c r="Y47" t="s">
        <v>181</v>
      </c>
      <c r="Z47" t="s">
        <v>182</v>
      </c>
      <c r="AE47" t="s">
        <v>620</v>
      </c>
      <c r="AF47" t="s">
        <v>621</v>
      </c>
      <c r="AG47" t="s">
        <v>622</v>
      </c>
      <c r="AH47" t="s">
        <v>623</v>
      </c>
    </row>
    <row r="48" spans="1:34" x14ac:dyDescent="0.3">
      <c r="A48" t="s">
        <v>19</v>
      </c>
      <c r="B48" s="1">
        <f t="shared" ref="B48:B51" si="4">240824000+E48</f>
        <v>240824401</v>
      </c>
      <c r="C48" s="2">
        <v>45528</v>
      </c>
      <c r="D48" t="s">
        <v>5</v>
      </c>
      <c r="E48">
        <v>401</v>
      </c>
      <c r="F48" t="s">
        <v>6</v>
      </c>
      <c r="G48" t="s">
        <v>447</v>
      </c>
      <c r="H48" t="s">
        <v>448</v>
      </c>
      <c r="I48" t="s">
        <v>449</v>
      </c>
      <c r="J48" t="s">
        <v>4</v>
      </c>
      <c r="K48" s="2">
        <v>42970</v>
      </c>
      <c r="L48">
        <v>84</v>
      </c>
      <c r="M48">
        <v>7</v>
      </c>
      <c r="N48">
        <v>7</v>
      </c>
      <c r="O48" t="s">
        <v>15</v>
      </c>
      <c r="P48" t="s">
        <v>446</v>
      </c>
      <c r="R48" t="s">
        <v>504</v>
      </c>
      <c r="S48" s="6" t="s">
        <v>503</v>
      </c>
      <c r="T48" s="6" t="s">
        <v>540</v>
      </c>
      <c r="U48" s="6" t="s">
        <v>505</v>
      </c>
      <c r="Y48" t="s">
        <v>575</v>
      </c>
      <c r="Z48" t="s">
        <v>182</v>
      </c>
      <c r="AA48" t="s">
        <v>624</v>
      </c>
      <c r="AC48" t="s">
        <v>625</v>
      </c>
      <c r="AD48" t="s">
        <v>626</v>
      </c>
      <c r="AE48" t="s">
        <v>627</v>
      </c>
      <c r="AF48" t="s">
        <v>628</v>
      </c>
      <c r="AG48" t="s">
        <v>629</v>
      </c>
      <c r="AH48" t="s">
        <v>630</v>
      </c>
    </row>
    <row r="49" spans="1:34" x14ac:dyDescent="0.3">
      <c r="A49" t="s">
        <v>19</v>
      </c>
      <c r="B49" s="1">
        <f t="shared" si="4"/>
        <v>240824505</v>
      </c>
      <c r="C49" s="2">
        <v>45528</v>
      </c>
      <c r="D49" t="s">
        <v>12</v>
      </c>
      <c r="E49">
        <v>505</v>
      </c>
      <c r="F49" t="s">
        <v>8</v>
      </c>
      <c r="G49" t="s">
        <v>450</v>
      </c>
      <c r="H49" t="s">
        <v>451</v>
      </c>
      <c r="I49" t="s">
        <v>452</v>
      </c>
      <c r="J49" t="s">
        <v>4</v>
      </c>
      <c r="K49" s="2">
        <v>42363</v>
      </c>
      <c r="L49">
        <v>103</v>
      </c>
      <c r="M49">
        <v>8</v>
      </c>
      <c r="N49">
        <v>8.66</v>
      </c>
      <c r="O49" t="s">
        <v>42</v>
      </c>
      <c r="P49" t="s">
        <v>453</v>
      </c>
      <c r="S49" s="6"/>
      <c r="T49" s="6" t="s">
        <v>415</v>
      </c>
      <c r="Y49" t="s">
        <v>181</v>
      </c>
      <c r="Z49" t="s">
        <v>182</v>
      </c>
      <c r="AC49" t="s">
        <v>578</v>
      </c>
      <c r="AE49" t="s">
        <v>631</v>
      </c>
      <c r="AF49" t="s">
        <v>632</v>
      </c>
      <c r="AG49" t="s">
        <v>351</v>
      </c>
      <c r="AH49" t="s">
        <v>633</v>
      </c>
    </row>
    <row r="50" spans="1:34" x14ac:dyDescent="0.3">
      <c r="A50" t="s">
        <v>19</v>
      </c>
      <c r="B50" s="1">
        <f t="shared" si="4"/>
        <v>240824603</v>
      </c>
      <c r="C50" s="2">
        <v>45528</v>
      </c>
      <c r="D50" t="s">
        <v>16</v>
      </c>
      <c r="E50">
        <v>603</v>
      </c>
      <c r="F50" t="s">
        <v>6</v>
      </c>
      <c r="G50" t="s">
        <v>454</v>
      </c>
      <c r="H50" t="s">
        <v>455</v>
      </c>
      <c r="I50" t="s">
        <v>456</v>
      </c>
      <c r="J50" t="s">
        <v>1</v>
      </c>
      <c r="K50" s="2">
        <v>42150</v>
      </c>
      <c r="L50">
        <v>110</v>
      </c>
      <c r="M50">
        <v>9</v>
      </c>
      <c r="N50">
        <v>9.24</v>
      </c>
      <c r="O50" t="s">
        <v>457</v>
      </c>
      <c r="P50" t="s">
        <v>458</v>
      </c>
      <c r="S50" s="6"/>
      <c r="T50" s="6" t="s">
        <v>415</v>
      </c>
      <c r="Y50" t="s">
        <v>575</v>
      </c>
      <c r="Z50" t="s">
        <v>182</v>
      </c>
      <c r="AC50" t="s">
        <v>634</v>
      </c>
      <c r="AD50" t="s">
        <v>635</v>
      </c>
      <c r="AE50" t="s">
        <v>636</v>
      </c>
      <c r="AF50" t="s">
        <v>637</v>
      </c>
      <c r="AG50" t="s">
        <v>638</v>
      </c>
      <c r="AH50" t="s">
        <v>639</v>
      </c>
    </row>
    <row r="51" spans="1:34" x14ac:dyDescent="0.3">
      <c r="A51" t="s">
        <v>19</v>
      </c>
      <c r="B51" s="1">
        <f t="shared" si="4"/>
        <v>240824604</v>
      </c>
      <c r="C51" s="2">
        <v>45528</v>
      </c>
      <c r="D51" t="s">
        <v>16</v>
      </c>
      <c r="E51">
        <v>604</v>
      </c>
      <c r="F51" t="s">
        <v>6</v>
      </c>
      <c r="G51" t="s">
        <v>459</v>
      </c>
      <c r="H51" t="s">
        <v>455</v>
      </c>
      <c r="I51" t="s">
        <v>456</v>
      </c>
      <c r="J51" t="s">
        <v>4</v>
      </c>
      <c r="K51" s="2">
        <v>43454</v>
      </c>
      <c r="L51">
        <v>68</v>
      </c>
      <c r="M51">
        <v>5</v>
      </c>
      <c r="N51">
        <v>5.68</v>
      </c>
      <c r="O51" t="s">
        <v>460</v>
      </c>
      <c r="P51" t="s">
        <v>461</v>
      </c>
      <c r="S51" s="6"/>
      <c r="T51" s="6" t="s">
        <v>415</v>
      </c>
      <c r="Y51" t="s">
        <v>575</v>
      </c>
      <c r="Z51" t="s">
        <v>182</v>
      </c>
      <c r="AC51" t="s">
        <v>607</v>
      </c>
      <c r="AD51" t="s">
        <v>640</v>
      </c>
      <c r="AE51" t="s">
        <v>641</v>
      </c>
      <c r="AF51" t="s">
        <v>642</v>
      </c>
      <c r="AG51" t="s">
        <v>351</v>
      </c>
      <c r="AH51" t="s">
        <v>351</v>
      </c>
    </row>
    <row r="52" spans="1:34" x14ac:dyDescent="0.3">
      <c r="A52" t="s">
        <v>19</v>
      </c>
      <c r="B52" s="1">
        <f>240831000+E52</f>
        <v>240831301</v>
      </c>
      <c r="C52" s="2">
        <v>45535</v>
      </c>
      <c r="D52" t="s">
        <v>26</v>
      </c>
      <c r="E52">
        <v>301</v>
      </c>
      <c r="F52" t="s">
        <v>6</v>
      </c>
      <c r="G52" t="s">
        <v>462</v>
      </c>
      <c r="H52" t="s">
        <v>463</v>
      </c>
      <c r="I52" t="s">
        <v>464</v>
      </c>
      <c r="J52" t="s">
        <v>1</v>
      </c>
      <c r="K52" s="2">
        <v>43526</v>
      </c>
      <c r="L52">
        <v>65</v>
      </c>
      <c r="M52">
        <v>5</v>
      </c>
      <c r="N52">
        <v>5.5</v>
      </c>
      <c r="O52" t="s">
        <v>114</v>
      </c>
      <c r="P52" t="s">
        <v>421</v>
      </c>
      <c r="Q52" t="s">
        <v>11</v>
      </c>
      <c r="S52" s="6"/>
      <c r="T52" s="6" t="s">
        <v>415</v>
      </c>
      <c r="Y52" t="s">
        <v>181</v>
      </c>
      <c r="Z52" t="s">
        <v>182</v>
      </c>
      <c r="AA52" t="s">
        <v>643</v>
      </c>
      <c r="AC52" t="s">
        <v>644</v>
      </c>
      <c r="AD52" t="s">
        <v>645</v>
      </c>
      <c r="AE52" t="s">
        <v>646</v>
      </c>
      <c r="AF52" t="s">
        <v>647</v>
      </c>
      <c r="AG52" t="s">
        <v>648</v>
      </c>
      <c r="AH52" t="s">
        <v>649</v>
      </c>
    </row>
    <row r="53" spans="1:34" x14ac:dyDescent="0.3">
      <c r="A53" t="s">
        <v>19</v>
      </c>
      <c r="B53" s="1">
        <f>250105000+E53</f>
        <v>250105201</v>
      </c>
      <c r="C53" s="2">
        <v>45662</v>
      </c>
      <c r="D53" t="s">
        <v>46</v>
      </c>
      <c r="E53">
        <v>201</v>
      </c>
      <c r="F53" t="s">
        <v>6</v>
      </c>
      <c r="G53" t="s">
        <v>465</v>
      </c>
      <c r="H53" t="s">
        <v>466</v>
      </c>
      <c r="I53" t="s">
        <v>467</v>
      </c>
      <c r="J53" t="s">
        <v>4</v>
      </c>
      <c r="K53" s="2">
        <v>43178</v>
      </c>
      <c r="L53">
        <v>81</v>
      </c>
      <c r="M53">
        <v>6</v>
      </c>
      <c r="N53">
        <v>6.79</v>
      </c>
      <c r="O53" t="s">
        <v>468</v>
      </c>
      <c r="P53" t="s">
        <v>93</v>
      </c>
      <c r="Q53" t="s">
        <v>469</v>
      </c>
      <c r="S53">
        <v>1</v>
      </c>
      <c r="T53" s="6" t="s">
        <v>540</v>
      </c>
      <c r="U53" s="6" t="s">
        <v>505</v>
      </c>
      <c r="Y53" t="s">
        <v>181</v>
      </c>
      <c r="Z53" t="s">
        <v>182</v>
      </c>
      <c r="AA53" t="s">
        <v>650</v>
      </c>
      <c r="AC53" t="s">
        <v>651</v>
      </c>
      <c r="AE53" t="s">
        <v>652</v>
      </c>
      <c r="AF53" t="s">
        <v>653</v>
      </c>
      <c r="AG53" t="s">
        <v>654</v>
      </c>
      <c r="AH53" t="s">
        <v>655</v>
      </c>
    </row>
    <row r="54" spans="1:34" x14ac:dyDescent="0.3">
      <c r="A54" t="s">
        <v>19</v>
      </c>
      <c r="B54" s="1">
        <f t="shared" ref="B54:B57" si="5">250105000+E54</f>
        <v>250105203</v>
      </c>
      <c r="C54" s="2">
        <v>45662</v>
      </c>
      <c r="D54" t="s">
        <v>46</v>
      </c>
      <c r="E54">
        <v>203</v>
      </c>
      <c r="F54" t="s">
        <v>6</v>
      </c>
      <c r="G54" t="s">
        <v>470</v>
      </c>
      <c r="H54" t="s">
        <v>471</v>
      </c>
      <c r="I54" t="s">
        <v>472</v>
      </c>
      <c r="J54" t="s">
        <v>1</v>
      </c>
      <c r="K54" s="2">
        <v>42400</v>
      </c>
      <c r="L54">
        <v>107</v>
      </c>
      <c r="M54">
        <v>8</v>
      </c>
      <c r="N54">
        <v>8.93</v>
      </c>
      <c r="O54" t="s">
        <v>473</v>
      </c>
      <c r="P54" t="s">
        <v>474</v>
      </c>
      <c r="Q54" t="s">
        <v>469</v>
      </c>
      <c r="T54" s="6" t="s">
        <v>415</v>
      </c>
      <c r="Y54" t="s">
        <v>656</v>
      </c>
      <c r="Z54" t="s">
        <v>657</v>
      </c>
      <c r="AC54" t="s">
        <v>614</v>
      </c>
      <c r="AD54" t="s">
        <v>658</v>
      </c>
      <c r="AE54" t="s">
        <v>659</v>
      </c>
      <c r="AF54" t="s">
        <v>660</v>
      </c>
      <c r="AG54" t="s">
        <v>661</v>
      </c>
      <c r="AH54" t="s">
        <v>662</v>
      </c>
    </row>
    <row r="55" spans="1:34" x14ac:dyDescent="0.3">
      <c r="A55" t="s">
        <v>19</v>
      </c>
      <c r="B55" s="1">
        <f t="shared" si="5"/>
        <v>250105304</v>
      </c>
      <c r="C55" s="2">
        <v>45662</v>
      </c>
      <c r="D55" t="s">
        <v>26</v>
      </c>
      <c r="E55">
        <v>304</v>
      </c>
      <c r="F55" t="s">
        <v>475</v>
      </c>
      <c r="G55" t="s">
        <v>476</v>
      </c>
      <c r="H55" t="s">
        <v>477</v>
      </c>
      <c r="I55" t="s">
        <v>478</v>
      </c>
      <c r="J55" t="s">
        <v>4</v>
      </c>
      <c r="K55" s="2">
        <v>42390</v>
      </c>
      <c r="L55">
        <v>107</v>
      </c>
      <c r="M55">
        <v>8</v>
      </c>
      <c r="N55">
        <v>8.9600000000000009</v>
      </c>
      <c r="O55" t="s">
        <v>479</v>
      </c>
      <c r="P55" t="s">
        <v>2</v>
      </c>
      <c r="Q55" t="s">
        <v>469</v>
      </c>
      <c r="T55" s="6" t="s">
        <v>415</v>
      </c>
      <c r="Y55" t="s">
        <v>181</v>
      </c>
      <c r="Z55" t="s">
        <v>182</v>
      </c>
      <c r="AC55" t="s">
        <v>593</v>
      </c>
      <c r="AD55" t="s">
        <v>663</v>
      </c>
      <c r="AE55" t="s">
        <v>664</v>
      </c>
      <c r="AF55" t="s">
        <v>665</v>
      </c>
      <c r="AG55" t="s">
        <v>666</v>
      </c>
      <c r="AH55" t="s">
        <v>619</v>
      </c>
    </row>
    <row r="56" spans="1:34" x14ac:dyDescent="0.3">
      <c r="A56" t="s">
        <v>19</v>
      </c>
      <c r="B56" s="1">
        <f t="shared" si="5"/>
        <v>250105401</v>
      </c>
      <c r="C56" s="2">
        <v>45662</v>
      </c>
      <c r="D56" t="s">
        <v>5</v>
      </c>
      <c r="E56">
        <v>401</v>
      </c>
      <c r="F56" t="s">
        <v>6</v>
      </c>
      <c r="G56" t="s">
        <v>480</v>
      </c>
      <c r="H56" t="s">
        <v>481</v>
      </c>
      <c r="I56" t="s">
        <v>482</v>
      </c>
      <c r="J56" t="s">
        <v>4</v>
      </c>
      <c r="K56" s="2">
        <v>43780</v>
      </c>
      <c r="L56">
        <v>61</v>
      </c>
      <c r="M56">
        <v>5</v>
      </c>
      <c r="N56">
        <v>5.15</v>
      </c>
      <c r="O56" t="s">
        <v>468</v>
      </c>
      <c r="P56" t="s">
        <v>93</v>
      </c>
      <c r="Q56" t="s">
        <v>469</v>
      </c>
      <c r="T56" s="6" t="s">
        <v>415</v>
      </c>
      <c r="Y56" t="s">
        <v>181</v>
      </c>
      <c r="Z56" t="s">
        <v>182</v>
      </c>
      <c r="AC56" t="s">
        <v>667</v>
      </c>
      <c r="AE56" t="s">
        <v>668</v>
      </c>
      <c r="AF56" t="s">
        <v>669</v>
      </c>
      <c r="AG56" t="s">
        <v>670</v>
      </c>
      <c r="AH56" t="s">
        <v>671</v>
      </c>
    </row>
    <row r="57" spans="1:34" x14ac:dyDescent="0.3">
      <c r="A57" t="s">
        <v>19</v>
      </c>
      <c r="B57" s="1">
        <f t="shared" si="5"/>
        <v>250105502</v>
      </c>
      <c r="C57" s="2">
        <v>45662</v>
      </c>
      <c r="D57" t="s">
        <v>12</v>
      </c>
      <c r="E57">
        <v>502</v>
      </c>
      <c r="F57" t="s">
        <v>475</v>
      </c>
      <c r="G57" t="s">
        <v>483</v>
      </c>
      <c r="H57" t="s">
        <v>484</v>
      </c>
      <c r="I57" t="s">
        <v>485</v>
      </c>
      <c r="J57" t="s">
        <v>1</v>
      </c>
      <c r="K57" s="2">
        <v>43144</v>
      </c>
      <c r="L57">
        <v>82</v>
      </c>
      <c r="M57">
        <v>6</v>
      </c>
      <c r="N57">
        <v>6.89</v>
      </c>
      <c r="O57" t="s">
        <v>486</v>
      </c>
      <c r="P57" t="s">
        <v>487</v>
      </c>
      <c r="Q57" t="s">
        <v>469</v>
      </c>
      <c r="T57" s="6" t="s">
        <v>415</v>
      </c>
      <c r="Y57" t="s">
        <v>181</v>
      </c>
      <c r="Z57" t="s">
        <v>182</v>
      </c>
      <c r="AC57" t="s">
        <v>672</v>
      </c>
      <c r="AD57" t="s">
        <v>673</v>
      </c>
      <c r="AE57" t="s">
        <v>674</v>
      </c>
      <c r="AF57" t="s">
        <v>675</v>
      </c>
      <c r="AG57" t="s">
        <v>676</v>
      </c>
      <c r="AH57" t="s">
        <v>677</v>
      </c>
    </row>
    <row r="58" spans="1:34" x14ac:dyDescent="0.3">
      <c r="A58" t="s">
        <v>19</v>
      </c>
      <c r="B58" s="1">
        <f>250112000+E58</f>
        <v>250112103</v>
      </c>
      <c r="C58" s="2">
        <v>45669</v>
      </c>
      <c r="D58" t="s">
        <v>20</v>
      </c>
      <c r="E58">
        <v>103</v>
      </c>
      <c r="F58" t="s">
        <v>6</v>
      </c>
      <c r="G58" t="s">
        <v>488</v>
      </c>
      <c r="H58" t="s">
        <v>489</v>
      </c>
      <c r="I58" t="s">
        <v>490</v>
      </c>
      <c r="J58" t="s">
        <v>1</v>
      </c>
      <c r="K58" s="2">
        <v>43339</v>
      </c>
      <c r="L58">
        <v>76</v>
      </c>
      <c r="M58">
        <v>6</v>
      </c>
      <c r="N58">
        <v>6.38</v>
      </c>
      <c r="O58" t="s">
        <v>473</v>
      </c>
      <c r="P58" t="s">
        <v>474</v>
      </c>
      <c r="T58" s="6" t="s">
        <v>415</v>
      </c>
      <c r="Y58" t="s">
        <v>181</v>
      </c>
      <c r="Z58" t="s">
        <v>182</v>
      </c>
      <c r="AC58" t="s">
        <v>678</v>
      </c>
      <c r="AD58" t="s">
        <v>679</v>
      </c>
      <c r="AE58" t="s">
        <v>680</v>
      </c>
      <c r="AF58" t="s">
        <v>681</v>
      </c>
      <c r="AG58" t="s">
        <v>682</v>
      </c>
      <c r="AH58" t="s">
        <v>683</v>
      </c>
    </row>
    <row r="59" spans="1:34" x14ac:dyDescent="0.3">
      <c r="A59" t="s">
        <v>19</v>
      </c>
      <c r="B59" s="1">
        <f t="shared" ref="B59:B62" si="6">250112000+E59</f>
        <v>250112104</v>
      </c>
      <c r="C59" s="2">
        <v>45669</v>
      </c>
      <c r="D59" t="s">
        <v>20</v>
      </c>
      <c r="E59">
        <v>104</v>
      </c>
      <c r="F59" t="s">
        <v>6</v>
      </c>
      <c r="G59" t="s">
        <v>491</v>
      </c>
      <c r="H59" t="s">
        <v>492</v>
      </c>
      <c r="I59" t="s">
        <v>493</v>
      </c>
      <c r="J59" t="s">
        <v>1</v>
      </c>
      <c r="K59" s="2">
        <v>42428</v>
      </c>
      <c r="L59">
        <v>106</v>
      </c>
      <c r="M59">
        <v>8</v>
      </c>
      <c r="N59">
        <v>8.8699999999999992</v>
      </c>
      <c r="O59" t="s">
        <v>479</v>
      </c>
      <c r="P59" t="s">
        <v>2</v>
      </c>
      <c r="T59" s="6" t="s">
        <v>415</v>
      </c>
      <c r="Y59" t="s">
        <v>181</v>
      </c>
      <c r="Z59" t="s">
        <v>182</v>
      </c>
      <c r="AC59" t="s">
        <v>684</v>
      </c>
      <c r="AD59" t="s">
        <v>685</v>
      </c>
      <c r="AE59" t="s">
        <v>686</v>
      </c>
      <c r="AF59" t="s">
        <v>687</v>
      </c>
      <c r="AG59" t="s">
        <v>688</v>
      </c>
      <c r="AH59" t="s">
        <v>689</v>
      </c>
    </row>
    <row r="60" spans="1:34" x14ac:dyDescent="0.3">
      <c r="A60" t="s">
        <v>19</v>
      </c>
      <c r="B60" s="1">
        <f t="shared" si="6"/>
        <v>250112503</v>
      </c>
      <c r="C60" s="2">
        <v>45669</v>
      </c>
      <c r="D60" t="s">
        <v>12</v>
      </c>
      <c r="E60">
        <v>503</v>
      </c>
      <c r="F60" t="s">
        <v>6</v>
      </c>
      <c r="G60" t="s">
        <v>494</v>
      </c>
      <c r="H60" t="s">
        <v>495</v>
      </c>
      <c r="I60" t="s">
        <v>496</v>
      </c>
      <c r="J60" t="s">
        <v>4</v>
      </c>
      <c r="K60" s="2">
        <v>42741</v>
      </c>
      <c r="L60">
        <v>96</v>
      </c>
      <c r="M60">
        <v>8</v>
      </c>
      <c r="N60">
        <v>8.02</v>
      </c>
      <c r="O60" t="s">
        <v>473</v>
      </c>
      <c r="P60" t="s">
        <v>474</v>
      </c>
      <c r="T60" s="6" t="s">
        <v>415</v>
      </c>
      <c r="Y60" t="s">
        <v>181</v>
      </c>
      <c r="Z60" t="s">
        <v>690</v>
      </c>
      <c r="AC60" t="s">
        <v>634</v>
      </c>
      <c r="AE60" t="s">
        <v>691</v>
      </c>
      <c r="AF60" t="s">
        <v>692</v>
      </c>
      <c r="AG60" t="s">
        <v>693</v>
      </c>
      <c r="AH60" t="s">
        <v>694</v>
      </c>
    </row>
    <row r="61" spans="1:34" x14ac:dyDescent="0.3">
      <c r="A61" t="s">
        <v>19</v>
      </c>
      <c r="B61" s="1">
        <f t="shared" si="6"/>
        <v>250112601</v>
      </c>
      <c r="C61" s="2">
        <v>45669</v>
      </c>
      <c r="D61" t="s">
        <v>16</v>
      </c>
      <c r="E61">
        <v>601</v>
      </c>
      <c r="F61" t="s">
        <v>6</v>
      </c>
      <c r="G61" t="s">
        <v>497</v>
      </c>
      <c r="H61" t="s">
        <v>498</v>
      </c>
      <c r="I61" t="s">
        <v>499</v>
      </c>
      <c r="J61" t="s">
        <v>1</v>
      </c>
      <c r="K61" s="2">
        <v>42716</v>
      </c>
      <c r="L61">
        <v>97</v>
      </c>
      <c r="M61">
        <v>8</v>
      </c>
      <c r="N61">
        <v>8.08</v>
      </c>
      <c r="O61" t="s">
        <v>468</v>
      </c>
      <c r="P61" t="s">
        <v>93</v>
      </c>
      <c r="T61" s="6" t="s">
        <v>415</v>
      </c>
      <c r="Y61" t="s">
        <v>181</v>
      </c>
      <c r="Z61" t="s">
        <v>182</v>
      </c>
      <c r="AC61" t="s">
        <v>607</v>
      </c>
      <c r="AD61" t="s">
        <v>695</v>
      </c>
      <c r="AE61" t="s">
        <v>696</v>
      </c>
      <c r="AF61" t="s">
        <v>697</v>
      </c>
      <c r="AG61" t="s">
        <v>698</v>
      </c>
      <c r="AH61" t="s">
        <v>699</v>
      </c>
    </row>
    <row r="62" spans="1:34" x14ac:dyDescent="0.3">
      <c r="A62" t="s">
        <v>19</v>
      </c>
      <c r="B62" s="1">
        <f t="shared" si="6"/>
        <v>250112605</v>
      </c>
      <c r="C62" s="2">
        <v>45669</v>
      </c>
      <c r="D62" t="s">
        <v>16</v>
      </c>
      <c r="E62">
        <v>605</v>
      </c>
      <c r="F62" t="s">
        <v>6</v>
      </c>
      <c r="G62" t="s">
        <v>500</v>
      </c>
      <c r="H62" t="s">
        <v>501</v>
      </c>
      <c r="I62" t="s">
        <v>502</v>
      </c>
      <c r="J62" t="s">
        <v>1</v>
      </c>
      <c r="K62" s="2">
        <v>42579</v>
      </c>
      <c r="L62">
        <v>101</v>
      </c>
      <c r="M62">
        <v>8</v>
      </c>
      <c r="N62">
        <v>8.4600000000000009</v>
      </c>
      <c r="O62" t="s">
        <v>42</v>
      </c>
      <c r="P62" t="s">
        <v>487</v>
      </c>
      <c r="T62" s="6" t="s">
        <v>415</v>
      </c>
      <c r="Z62" t="s">
        <v>182</v>
      </c>
      <c r="AC62" t="s">
        <v>667</v>
      </c>
      <c r="AE62" t="s">
        <v>700</v>
      </c>
      <c r="AF62" t="s">
        <v>701</v>
      </c>
      <c r="AG62" t="s">
        <v>702</v>
      </c>
      <c r="AH62" t="s">
        <v>671</v>
      </c>
    </row>
    <row r="63" spans="1:34" x14ac:dyDescent="0.3">
      <c r="A63" t="s">
        <v>19</v>
      </c>
      <c r="B63" s="1">
        <f>250119000+E63</f>
        <v>250119103</v>
      </c>
      <c r="C63" s="2">
        <v>45676</v>
      </c>
      <c r="D63" t="s">
        <v>20</v>
      </c>
      <c r="E63">
        <v>103</v>
      </c>
      <c r="F63" t="s">
        <v>6</v>
      </c>
      <c r="G63" t="s">
        <v>506</v>
      </c>
      <c r="H63" t="s">
        <v>507</v>
      </c>
      <c r="I63" t="s">
        <v>508</v>
      </c>
      <c r="J63" t="s">
        <v>1</v>
      </c>
      <c r="K63" s="2">
        <v>43385</v>
      </c>
      <c r="L63">
        <v>75</v>
      </c>
      <c r="M63">
        <v>6</v>
      </c>
      <c r="N63">
        <v>6.27</v>
      </c>
      <c r="O63" t="s">
        <v>473</v>
      </c>
      <c r="P63" t="s">
        <v>474</v>
      </c>
      <c r="Q63" t="s">
        <v>469</v>
      </c>
      <c r="R63" t="s">
        <v>509</v>
      </c>
      <c r="S63">
        <v>1</v>
      </c>
      <c r="T63" s="6" t="s">
        <v>415</v>
      </c>
      <c r="Z63" t="s">
        <v>182</v>
      </c>
      <c r="AC63" t="s">
        <v>703</v>
      </c>
      <c r="AD63" t="s">
        <v>704</v>
      </c>
      <c r="AE63" t="s">
        <v>705</v>
      </c>
      <c r="AF63" t="s">
        <v>706</v>
      </c>
      <c r="AG63" t="s">
        <v>707</v>
      </c>
      <c r="AH63" t="s">
        <v>708</v>
      </c>
    </row>
    <row r="64" spans="1:34" x14ac:dyDescent="0.3">
      <c r="A64" t="s">
        <v>19</v>
      </c>
      <c r="B64" s="1">
        <f>250119000+E64</f>
        <v>250119203</v>
      </c>
      <c r="C64" s="2">
        <v>45676</v>
      </c>
      <c r="D64" t="s">
        <v>46</v>
      </c>
      <c r="E64">
        <v>203</v>
      </c>
      <c r="F64" t="s">
        <v>6</v>
      </c>
      <c r="G64" t="s">
        <v>510</v>
      </c>
      <c r="H64" t="s">
        <v>511</v>
      </c>
      <c r="I64" t="s">
        <v>512</v>
      </c>
      <c r="J64" t="s">
        <v>4</v>
      </c>
      <c r="K64" s="2">
        <v>43257</v>
      </c>
      <c r="L64">
        <v>79</v>
      </c>
      <c r="M64">
        <v>6</v>
      </c>
      <c r="N64">
        <v>6.62</v>
      </c>
      <c r="O64" t="s">
        <v>473</v>
      </c>
      <c r="P64" t="s">
        <v>474</v>
      </c>
      <c r="Q64" t="s">
        <v>469</v>
      </c>
      <c r="T64" s="6" t="s">
        <v>415</v>
      </c>
      <c r="Z64" t="s">
        <v>182</v>
      </c>
      <c r="AC64" t="s">
        <v>667</v>
      </c>
      <c r="AD64" t="s">
        <v>709</v>
      </c>
      <c r="AE64" t="s">
        <v>710</v>
      </c>
      <c r="AF64" t="s">
        <v>711</v>
      </c>
      <c r="AG64" t="s">
        <v>712</v>
      </c>
      <c r="AH64" t="s">
        <v>713</v>
      </c>
    </row>
    <row r="65" spans="1:34" x14ac:dyDescent="0.3">
      <c r="A65" t="s">
        <v>19</v>
      </c>
      <c r="B65" s="1">
        <f t="shared" ref="B65:B71" si="7">250119000+E65</f>
        <v>250119204</v>
      </c>
      <c r="C65" s="2">
        <v>45676</v>
      </c>
      <c r="D65" t="s">
        <v>46</v>
      </c>
      <c r="E65">
        <v>204</v>
      </c>
      <c r="F65" t="s">
        <v>6</v>
      </c>
      <c r="G65" t="s">
        <v>513</v>
      </c>
      <c r="H65" t="s">
        <v>514</v>
      </c>
      <c r="I65" t="s">
        <v>515</v>
      </c>
      <c r="J65" t="s">
        <v>4</v>
      </c>
      <c r="K65" s="2">
        <v>43257</v>
      </c>
      <c r="L65">
        <v>79</v>
      </c>
      <c r="M65">
        <v>6</v>
      </c>
      <c r="N65">
        <v>6.62</v>
      </c>
      <c r="O65" t="s">
        <v>479</v>
      </c>
      <c r="P65" t="s">
        <v>2</v>
      </c>
      <c r="Q65" t="s">
        <v>469</v>
      </c>
      <c r="T65" s="6" t="s">
        <v>415</v>
      </c>
      <c r="Y65" t="s">
        <v>181</v>
      </c>
      <c r="Z65" t="s">
        <v>182</v>
      </c>
      <c r="AC65" t="s">
        <v>614</v>
      </c>
      <c r="AD65" t="s">
        <v>714</v>
      </c>
      <c r="AE65" t="s">
        <v>715</v>
      </c>
      <c r="AF65" t="s">
        <v>716</v>
      </c>
      <c r="AG65" t="s">
        <v>717</v>
      </c>
      <c r="AH65" t="s">
        <v>284</v>
      </c>
    </row>
    <row r="66" spans="1:34" x14ac:dyDescent="0.3">
      <c r="A66" t="s">
        <v>19</v>
      </c>
      <c r="B66" s="1">
        <f t="shared" si="7"/>
        <v>250119305</v>
      </c>
      <c r="C66" s="2">
        <v>45676</v>
      </c>
      <c r="D66" t="s">
        <v>26</v>
      </c>
      <c r="E66">
        <v>305</v>
      </c>
      <c r="F66" t="s">
        <v>475</v>
      </c>
      <c r="G66" t="s">
        <v>516</v>
      </c>
      <c r="H66" t="s">
        <v>517</v>
      </c>
      <c r="I66" t="s">
        <v>518</v>
      </c>
      <c r="J66" t="s">
        <v>4</v>
      </c>
      <c r="K66" s="2">
        <v>43648</v>
      </c>
      <c r="L66">
        <v>66</v>
      </c>
      <c r="M66">
        <v>5</v>
      </c>
      <c r="N66">
        <v>5.55</v>
      </c>
      <c r="O66" t="s">
        <v>42</v>
      </c>
      <c r="P66" t="s">
        <v>487</v>
      </c>
      <c r="Q66" t="s">
        <v>469</v>
      </c>
      <c r="T66" s="6" t="s">
        <v>415</v>
      </c>
      <c r="Z66" t="s">
        <v>182</v>
      </c>
      <c r="AC66" t="s">
        <v>718</v>
      </c>
      <c r="AD66" t="s">
        <v>719</v>
      </c>
      <c r="AE66" t="s">
        <v>720</v>
      </c>
      <c r="AF66" t="s">
        <v>721</v>
      </c>
      <c r="AG66" t="s">
        <v>722</v>
      </c>
      <c r="AH66" t="s">
        <v>723</v>
      </c>
    </row>
    <row r="67" spans="1:34" x14ac:dyDescent="0.3">
      <c r="A67" t="s">
        <v>19</v>
      </c>
      <c r="B67" s="1">
        <f t="shared" si="7"/>
        <v>250119401</v>
      </c>
      <c r="C67" s="2">
        <v>45676</v>
      </c>
      <c r="D67" t="s">
        <v>5</v>
      </c>
      <c r="E67">
        <v>401</v>
      </c>
      <c r="F67" t="s">
        <v>8</v>
      </c>
      <c r="G67" t="s">
        <v>519</v>
      </c>
      <c r="H67" t="s">
        <v>520</v>
      </c>
      <c r="I67" t="s">
        <v>521</v>
      </c>
      <c r="J67" t="s">
        <v>1</v>
      </c>
      <c r="K67" s="2">
        <v>43370</v>
      </c>
      <c r="L67">
        <v>75</v>
      </c>
      <c r="M67">
        <v>6</v>
      </c>
      <c r="N67">
        <v>6.31</v>
      </c>
      <c r="O67" t="s">
        <v>468</v>
      </c>
      <c r="P67" t="s">
        <v>93</v>
      </c>
      <c r="Q67" t="s">
        <v>522</v>
      </c>
      <c r="T67" s="6" t="s">
        <v>415</v>
      </c>
      <c r="Z67" t="s">
        <v>724</v>
      </c>
      <c r="AC67" t="s">
        <v>672</v>
      </c>
      <c r="AD67" t="s">
        <v>725</v>
      </c>
      <c r="AE67" t="s">
        <v>726</v>
      </c>
      <c r="AF67" t="s">
        <v>727</v>
      </c>
      <c r="AG67" t="s">
        <v>728</v>
      </c>
      <c r="AH67" t="s">
        <v>729</v>
      </c>
    </row>
    <row r="68" spans="1:34" x14ac:dyDescent="0.3">
      <c r="A68" t="s">
        <v>19</v>
      </c>
      <c r="B68" s="1">
        <f t="shared" si="7"/>
        <v>250119403</v>
      </c>
      <c r="C68" s="2">
        <v>45676</v>
      </c>
      <c r="D68" t="s">
        <v>5</v>
      </c>
      <c r="E68">
        <v>403</v>
      </c>
      <c r="F68" t="s">
        <v>6</v>
      </c>
      <c r="G68" t="s">
        <v>523</v>
      </c>
      <c r="H68" t="s">
        <v>524</v>
      </c>
      <c r="I68" t="s">
        <v>525</v>
      </c>
      <c r="J68" t="s">
        <v>4</v>
      </c>
      <c r="K68" s="2">
        <v>43454</v>
      </c>
      <c r="L68">
        <v>72</v>
      </c>
      <c r="M68">
        <v>6</v>
      </c>
      <c r="N68">
        <v>6.08</v>
      </c>
      <c r="O68" t="s">
        <v>473</v>
      </c>
      <c r="P68" t="s">
        <v>474</v>
      </c>
      <c r="Q68" t="s">
        <v>469</v>
      </c>
      <c r="R68" t="s">
        <v>526</v>
      </c>
      <c r="T68" s="6" t="s">
        <v>541</v>
      </c>
      <c r="AA68" t="s">
        <v>730</v>
      </c>
      <c r="AC68" t="s">
        <v>593</v>
      </c>
      <c r="AD68" t="s">
        <v>731</v>
      </c>
      <c r="AE68" t="s">
        <v>732</v>
      </c>
      <c r="AF68" t="s">
        <v>733</v>
      </c>
      <c r="AG68" t="s">
        <v>351</v>
      </c>
      <c r="AH68" t="s">
        <v>734</v>
      </c>
    </row>
    <row r="69" spans="1:34" x14ac:dyDescent="0.3">
      <c r="A69" t="s">
        <v>19</v>
      </c>
      <c r="B69" s="1">
        <f t="shared" si="7"/>
        <v>250119404</v>
      </c>
      <c r="C69" s="2">
        <v>45676</v>
      </c>
      <c r="D69" t="s">
        <v>5</v>
      </c>
      <c r="E69">
        <v>404</v>
      </c>
      <c r="F69" t="s">
        <v>6</v>
      </c>
      <c r="G69" t="s">
        <v>527</v>
      </c>
      <c r="H69" t="s">
        <v>528</v>
      </c>
      <c r="I69" t="s">
        <v>529</v>
      </c>
      <c r="J69" t="s">
        <v>4</v>
      </c>
      <c r="K69" s="2">
        <v>43454</v>
      </c>
      <c r="L69">
        <v>72</v>
      </c>
      <c r="M69">
        <v>6</v>
      </c>
      <c r="N69">
        <v>6.08</v>
      </c>
      <c r="O69" t="s">
        <v>479</v>
      </c>
      <c r="P69" t="s">
        <v>2</v>
      </c>
      <c r="Q69" t="s">
        <v>469</v>
      </c>
      <c r="R69" t="s">
        <v>526</v>
      </c>
      <c r="T69" s="6" t="s">
        <v>415</v>
      </c>
      <c r="Y69" t="s">
        <v>181</v>
      </c>
      <c r="Z69" t="s">
        <v>182</v>
      </c>
      <c r="AC69" t="s">
        <v>735</v>
      </c>
      <c r="AD69" t="s">
        <v>736</v>
      </c>
      <c r="AE69" t="s">
        <v>737</v>
      </c>
      <c r="AF69" t="s">
        <v>738</v>
      </c>
      <c r="AG69" t="s">
        <v>739</v>
      </c>
      <c r="AH69" t="s">
        <v>740</v>
      </c>
    </row>
    <row r="70" spans="1:34" x14ac:dyDescent="0.3">
      <c r="A70" t="s">
        <v>19</v>
      </c>
      <c r="B70" s="1">
        <f t="shared" si="7"/>
        <v>250119504</v>
      </c>
      <c r="C70" s="2">
        <v>45676</v>
      </c>
      <c r="D70" t="s">
        <v>12</v>
      </c>
      <c r="E70">
        <v>504</v>
      </c>
      <c r="F70" t="s">
        <v>6</v>
      </c>
      <c r="G70" t="s">
        <v>530</v>
      </c>
      <c r="H70" t="s">
        <v>50</v>
      </c>
      <c r="I70" t="s">
        <v>531</v>
      </c>
      <c r="J70" t="s">
        <v>1</v>
      </c>
      <c r="K70" s="2">
        <v>43219</v>
      </c>
      <c r="L70">
        <v>80</v>
      </c>
      <c r="M70">
        <v>6</v>
      </c>
      <c r="N70">
        <v>6.72</v>
      </c>
      <c r="O70" t="s">
        <v>479</v>
      </c>
      <c r="P70" t="s">
        <v>2</v>
      </c>
      <c r="Q70" t="s">
        <v>469</v>
      </c>
      <c r="T70" s="6" t="s">
        <v>415</v>
      </c>
      <c r="Y70" t="s">
        <v>181</v>
      </c>
      <c r="Z70" t="s">
        <v>182</v>
      </c>
      <c r="AC70" t="s">
        <v>718</v>
      </c>
      <c r="AD70" t="s">
        <v>741</v>
      </c>
      <c r="AE70" t="s">
        <v>742</v>
      </c>
      <c r="AF70" t="s">
        <v>743</v>
      </c>
      <c r="AG70" t="s">
        <v>744</v>
      </c>
      <c r="AH70" t="s">
        <v>745</v>
      </c>
    </row>
    <row r="71" spans="1:34" x14ac:dyDescent="0.3">
      <c r="A71" t="s">
        <v>19</v>
      </c>
      <c r="B71" s="1">
        <f t="shared" si="7"/>
        <v>250119601</v>
      </c>
      <c r="C71" s="2">
        <v>45676</v>
      </c>
      <c r="D71" t="s">
        <v>16</v>
      </c>
      <c r="E71">
        <v>601</v>
      </c>
      <c r="F71" t="s">
        <v>6</v>
      </c>
      <c r="G71" t="s">
        <v>532</v>
      </c>
      <c r="H71" t="s">
        <v>533</v>
      </c>
      <c r="I71" t="s">
        <v>534</v>
      </c>
      <c r="J71" t="s">
        <v>1</v>
      </c>
      <c r="K71" s="2">
        <v>43217</v>
      </c>
      <c r="L71">
        <v>80</v>
      </c>
      <c r="M71">
        <v>6</v>
      </c>
      <c r="N71">
        <v>6.73</v>
      </c>
      <c r="O71" t="s">
        <v>468</v>
      </c>
      <c r="P71" t="s">
        <v>93</v>
      </c>
      <c r="Q71" t="s">
        <v>469</v>
      </c>
      <c r="T71" s="6" t="s">
        <v>415</v>
      </c>
      <c r="Z71" t="s">
        <v>182</v>
      </c>
      <c r="AC71" t="s">
        <v>678</v>
      </c>
      <c r="AD71" t="s">
        <v>746</v>
      </c>
      <c r="AE71" t="s">
        <v>747</v>
      </c>
      <c r="AF71" t="s">
        <v>748</v>
      </c>
      <c r="AG71" t="s">
        <v>749</v>
      </c>
      <c r="AH71" t="s">
        <v>750</v>
      </c>
    </row>
    <row r="72" spans="1:34" x14ac:dyDescent="0.3">
      <c r="A72" t="s">
        <v>19</v>
      </c>
      <c r="B72" s="1">
        <f>250126000+E72</f>
        <v>250126201</v>
      </c>
      <c r="C72" s="2">
        <v>45683</v>
      </c>
      <c r="D72" t="s">
        <v>46</v>
      </c>
      <c r="E72">
        <v>201</v>
      </c>
      <c r="F72" t="s">
        <v>6</v>
      </c>
      <c r="G72" t="s">
        <v>542</v>
      </c>
      <c r="H72" t="s">
        <v>543</v>
      </c>
      <c r="I72" t="s">
        <v>544</v>
      </c>
      <c r="J72" t="s">
        <v>1</v>
      </c>
      <c r="K72" s="2">
        <v>42031</v>
      </c>
      <c r="L72">
        <v>119</v>
      </c>
      <c r="M72">
        <v>9</v>
      </c>
      <c r="N72">
        <v>10</v>
      </c>
      <c r="O72" t="s">
        <v>479</v>
      </c>
      <c r="P72" t="s">
        <v>93</v>
      </c>
      <c r="Q72" t="s">
        <v>522</v>
      </c>
      <c r="S72" s="6"/>
      <c r="U72"/>
      <c r="Y72" t="s">
        <v>181</v>
      </c>
      <c r="Z72" t="s">
        <v>182</v>
      </c>
      <c r="AC72" t="s">
        <v>578</v>
      </c>
      <c r="AD72" t="s">
        <v>751</v>
      </c>
      <c r="AE72" t="s">
        <v>752</v>
      </c>
      <c r="AF72" t="s">
        <v>753</v>
      </c>
      <c r="AG72" t="s">
        <v>754</v>
      </c>
      <c r="AH72" t="s">
        <v>755</v>
      </c>
    </row>
    <row r="73" spans="1:34" x14ac:dyDescent="0.3">
      <c r="A73" t="s">
        <v>19</v>
      </c>
      <c r="B73" s="1">
        <f>250126000+E73</f>
        <v>250126203</v>
      </c>
      <c r="C73" s="2">
        <v>45683</v>
      </c>
      <c r="D73" t="s">
        <v>46</v>
      </c>
      <c r="E73">
        <v>203</v>
      </c>
      <c r="F73" t="s">
        <v>6</v>
      </c>
      <c r="G73" t="s">
        <v>545</v>
      </c>
      <c r="H73" t="s">
        <v>546</v>
      </c>
      <c r="I73" t="s">
        <v>547</v>
      </c>
      <c r="J73" t="s">
        <v>4</v>
      </c>
      <c r="K73" s="2">
        <v>43790</v>
      </c>
      <c r="L73">
        <v>62</v>
      </c>
      <c r="M73">
        <v>5</v>
      </c>
      <c r="N73">
        <v>5.18</v>
      </c>
      <c r="O73" t="s">
        <v>473</v>
      </c>
      <c r="P73" t="s">
        <v>474</v>
      </c>
      <c r="Q73" t="s">
        <v>469</v>
      </c>
      <c r="S73" s="6"/>
      <c r="U73"/>
      <c r="AC73" t="s">
        <v>583</v>
      </c>
      <c r="AD73" t="s">
        <v>756</v>
      </c>
      <c r="AE73" t="s">
        <v>757</v>
      </c>
      <c r="AF73" t="s">
        <v>758</v>
      </c>
      <c r="AG73" t="s">
        <v>759</v>
      </c>
      <c r="AH73" t="s">
        <v>760</v>
      </c>
    </row>
    <row r="74" spans="1:34" x14ac:dyDescent="0.3">
      <c r="A74" t="s">
        <v>19</v>
      </c>
      <c r="B74" s="1">
        <f t="shared" ref="B74:B79" si="8">250126000+E74</f>
        <v>250126304</v>
      </c>
      <c r="C74" s="2">
        <v>45683</v>
      </c>
      <c r="D74" t="s">
        <v>26</v>
      </c>
      <c r="E74">
        <v>304</v>
      </c>
      <c r="F74" t="s">
        <v>6</v>
      </c>
      <c r="G74" t="s">
        <v>548</v>
      </c>
      <c r="H74" t="s">
        <v>549</v>
      </c>
      <c r="I74" t="s">
        <v>550</v>
      </c>
      <c r="J74" t="s">
        <v>1</v>
      </c>
      <c r="K74" s="2">
        <v>43559</v>
      </c>
      <c r="L74">
        <v>69</v>
      </c>
      <c r="M74">
        <v>5</v>
      </c>
      <c r="N74">
        <v>5.81</v>
      </c>
      <c r="O74" t="s">
        <v>479</v>
      </c>
      <c r="P74" t="s">
        <v>2</v>
      </c>
      <c r="Q74" t="s">
        <v>469</v>
      </c>
      <c r="R74" t="s">
        <v>551</v>
      </c>
      <c r="S74" s="6"/>
      <c r="U74"/>
      <c r="Y74" t="s">
        <v>181</v>
      </c>
      <c r="Z74" t="s">
        <v>182</v>
      </c>
      <c r="AC74" t="s">
        <v>607</v>
      </c>
      <c r="AD74" t="s">
        <v>761</v>
      </c>
      <c r="AE74" t="s">
        <v>762</v>
      </c>
      <c r="AF74" t="s">
        <v>763</v>
      </c>
      <c r="AG74" t="s">
        <v>764</v>
      </c>
      <c r="AH74" t="s">
        <v>765</v>
      </c>
    </row>
    <row r="75" spans="1:34" x14ac:dyDescent="0.3">
      <c r="A75" t="s">
        <v>19</v>
      </c>
      <c r="B75" s="1">
        <f t="shared" si="8"/>
        <v>250126401</v>
      </c>
      <c r="C75" s="2">
        <v>45683</v>
      </c>
      <c r="D75" t="s">
        <v>5</v>
      </c>
      <c r="E75">
        <v>401</v>
      </c>
      <c r="F75" t="s">
        <v>6</v>
      </c>
      <c r="G75" t="s">
        <v>552</v>
      </c>
      <c r="H75" t="s">
        <v>553</v>
      </c>
      <c r="I75" t="s">
        <v>554</v>
      </c>
      <c r="J75" t="s">
        <v>4</v>
      </c>
      <c r="K75" s="2">
        <v>43687</v>
      </c>
      <c r="L75">
        <v>65</v>
      </c>
      <c r="M75">
        <v>5</v>
      </c>
      <c r="N75">
        <v>5.46</v>
      </c>
      <c r="O75" t="s">
        <v>468</v>
      </c>
      <c r="P75" t="s">
        <v>93</v>
      </c>
      <c r="Q75" t="s">
        <v>522</v>
      </c>
      <c r="R75" t="s">
        <v>555</v>
      </c>
      <c r="S75" s="6"/>
      <c r="U75"/>
      <c r="Z75" t="s">
        <v>182</v>
      </c>
      <c r="AC75" t="s">
        <v>667</v>
      </c>
      <c r="AD75" t="s">
        <v>766</v>
      </c>
      <c r="AE75" t="s">
        <v>767</v>
      </c>
      <c r="AF75" t="s">
        <v>351</v>
      </c>
      <c r="AG75" t="s">
        <v>768</v>
      </c>
      <c r="AH75" t="s">
        <v>699</v>
      </c>
    </row>
    <row r="76" spans="1:34" x14ac:dyDescent="0.3">
      <c r="A76" t="s">
        <v>19</v>
      </c>
      <c r="B76" s="1">
        <f t="shared" si="8"/>
        <v>250126403</v>
      </c>
      <c r="C76" s="2">
        <v>45683</v>
      </c>
      <c r="D76" t="s">
        <v>5</v>
      </c>
      <c r="E76">
        <v>403</v>
      </c>
      <c r="F76" t="s">
        <v>6</v>
      </c>
      <c r="G76" t="s">
        <v>556</v>
      </c>
      <c r="H76" t="s">
        <v>557</v>
      </c>
      <c r="I76" t="s">
        <v>558</v>
      </c>
      <c r="J76" t="s">
        <v>4</v>
      </c>
      <c r="K76" s="2">
        <v>43755</v>
      </c>
      <c r="L76">
        <v>63</v>
      </c>
      <c r="M76">
        <v>5</v>
      </c>
      <c r="N76">
        <v>5.28</v>
      </c>
      <c r="O76" t="s">
        <v>473</v>
      </c>
      <c r="P76" t="s">
        <v>474</v>
      </c>
      <c r="Q76" t="s">
        <v>469</v>
      </c>
      <c r="S76" s="6"/>
      <c r="U76"/>
      <c r="AC76" t="s">
        <v>593</v>
      </c>
      <c r="AD76" t="s">
        <v>769</v>
      </c>
      <c r="AE76" t="s">
        <v>770</v>
      </c>
      <c r="AF76" t="s">
        <v>771</v>
      </c>
      <c r="AG76" t="s">
        <v>772</v>
      </c>
      <c r="AH76" t="s">
        <v>773</v>
      </c>
    </row>
    <row r="77" spans="1:34" x14ac:dyDescent="0.3">
      <c r="A77" t="s">
        <v>19</v>
      </c>
      <c r="B77" s="1">
        <f t="shared" si="8"/>
        <v>250126404</v>
      </c>
      <c r="C77" s="2">
        <v>45683</v>
      </c>
      <c r="D77" t="s">
        <v>5</v>
      </c>
      <c r="E77">
        <v>404</v>
      </c>
      <c r="F77" t="s">
        <v>6</v>
      </c>
      <c r="G77" t="s">
        <v>559</v>
      </c>
      <c r="H77" t="s">
        <v>560</v>
      </c>
      <c r="I77" t="s">
        <v>561</v>
      </c>
      <c r="J77" t="s">
        <v>1</v>
      </c>
      <c r="K77" s="2">
        <v>43602</v>
      </c>
      <c r="L77">
        <v>68</v>
      </c>
      <c r="M77">
        <v>5</v>
      </c>
      <c r="N77">
        <v>5.69</v>
      </c>
      <c r="O77" t="s">
        <v>479</v>
      </c>
      <c r="P77" t="s">
        <v>2</v>
      </c>
      <c r="Q77" t="s">
        <v>469</v>
      </c>
      <c r="S77" s="6"/>
      <c r="U77"/>
      <c r="Y77" t="s">
        <v>181</v>
      </c>
      <c r="Z77" t="s">
        <v>182</v>
      </c>
      <c r="AC77" t="s">
        <v>634</v>
      </c>
      <c r="AD77" t="s">
        <v>774</v>
      </c>
      <c r="AE77" t="s">
        <v>775</v>
      </c>
      <c r="AF77" t="s">
        <v>776</v>
      </c>
      <c r="AG77" t="s">
        <v>777</v>
      </c>
      <c r="AH77" t="s">
        <v>284</v>
      </c>
    </row>
    <row r="78" spans="1:34" x14ac:dyDescent="0.3">
      <c r="A78" t="s">
        <v>19</v>
      </c>
      <c r="B78" s="1">
        <f t="shared" si="8"/>
        <v>250126504</v>
      </c>
      <c r="C78" s="2">
        <v>45683</v>
      </c>
      <c r="D78" t="s">
        <v>12</v>
      </c>
      <c r="E78">
        <v>504</v>
      </c>
      <c r="F78" t="s">
        <v>6</v>
      </c>
      <c r="G78" t="s">
        <v>129</v>
      </c>
      <c r="H78" t="s">
        <v>562</v>
      </c>
      <c r="I78" t="s">
        <v>563</v>
      </c>
      <c r="J78" t="s">
        <v>1</v>
      </c>
      <c r="K78" s="2">
        <v>43057</v>
      </c>
      <c r="L78">
        <v>86</v>
      </c>
      <c r="M78">
        <v>7</v>
      </c>
      <c r="N78">
        <v>7.19</v>
      </c>
      <c r="O78" t="s">
        <v>479</v>
      </c>
      <c r="P78" t="s">
        <v>2</v>
      </c>
      <c r="Q78" t="s">
        <v>469</v>
      </c>
      <c r="S78" s="6"/>
      <c r="U78"/>
      <c r="Y78" t="s">
        <v>181</v>
      </c>
      <c r="Z78" t="s">
        <v>182</v>
      </c>
      <c r="AC78" t="s">
        <v>593</v>
      </c>
      <c r="AD78" t="s">
        <v>778</v>
      </c>
      <c r="AE78" t="s">
        <v>779</v>
      </c>
      <c r="AF78" t="s">
        <v>780</v>
      </c>
      <c r="AG78" t="s">
        <v>781</v>
      </c>
      <c r="AH78" t="s">
        <v>284</v>
      </c>
    </row>
    <row r="79" spans="1:34" x14ac:dyDescent="0.3">
      <c r="A79" t="s">
        <v>19</v>
      </c>
      <c r="B79" s="1">
        <f t="shared" si="8"/>
        <v>250126604</v>
      </c>
      <c r="C79" s="2">
        <v>45683</v>
      </c>
      <c r="D79" t="s">
        <v>16</v>
      </c>
      <c r="E79">
        <v>604</v>
      </c>
      <c r="F79" t="s">
        <v>475</v>
      </c>
      <c r="G79" t="s">
        <v>564</v>
      </c>
      <c r="H79" t="s">
        <v>565</v>
      </c>
      <c r="I79" t="s">
        <v>566</v>
      </c>
      <c r="J79" t="s">
        <v>1</v>
      </c>
      <c r="K79" s="2">
        <v>42965</v>
      </c>
      <c r="L79">
        <v>89</v>
      </c>
      <c r="M79">
        <v>7</v>
      </c>
      <c r="N79">
        <v>7.44</v>
      </c>
      <c r="O79" t="s">
        <v>479</v>
      </c>
      <c r="P79" t="s">
        <v>2</v>
      </c>
      <c r="Q79" t="s">
        <v>469</v>
      </c>
      <c r="S79" s="6"/>
      <c r="U79"/>
      <c r="Y79" t="s">
        <v>181</v>
      </c>
      <c r="Z79" t="s">
        <v>182</v>
      </c>
      <c r="AA79" t="s">
        <v>782</v>
      </c>
      <c r="AC79" t="s">
        <v>614</v>
      </c>
      <c r="AD79" t="s">
        <v>783</v>
      </c>
      <c r="AE79" t="s">
        <v>784</v>
      </c>
      <c r="AF79" t="s">
        <v>785</v>
      </c>
      <c r="AG79" t="s">
        <v>786</v>
      </c>
      <c r="AH79" t="s">
        <v>787</v>
      </c>
    </row>
    <row r="80" spans="1:34" x14ac:dyDescent="0.3">
      <c r="A80" t="s">
        <v>19</v>
      </c>
      <c r="B80" s="1">
        <f>250209000+E80</f>
        <v>250209104</v>
      </c>
      <c r="C80" s="2">
        <v>45697</v>
      </c>
      <c r="D80" t="s">
        <v>20</v>
      </c>
      <c r="E80">
        <v>104</v>
      </c>
      <c r="F80" t="s">
        <v>6</v>
      </c>
      <c r="G80" t="s">
        <v>567</v>
      </c>
      <c r="H80" t="s">
        <v>568</v>
      </c>
      <c r="I80" t="s">
        <v>569</v>
      </c>
      <c r="J80" t="s">
        <v>4</v>
      </c>
      <c r="K80" s="2">
        <v>42215</v>
      </c>
      <c r="L80">
        <v>114</v>
      </c>
      <c r="M80">
        <v>9</v>
      </c>
      <c r="N80">
        <v>9.5299999999999994</v>
      </c>
      <c r="O80" t="s">
        <v>479</v>
      </c>
      <c r="P80" t="s">
        <v>2</v>
      </c>
      <c r="Q80" t="s">
        <v>522</v>
      </c>
      <c r="R80" t="s">
        <v>570</v>
      </c>
      <c r="S80" s="6"/>
      <c r="U80"/>
      <c r="Y80" t="s">
        <v>181</v>
      </c>
      <c r="Z80" t="s">
        <v>788</v>
      </c>
      <c r="AC80" t="s">
        <v>735</v>
      </c>
      <c r="AD80" t="s">
        <v>789</v>
      </c>
      <c r="AE80" t="s">
        <v>790</v>
      </c>
      <c r="AF80" t="s">
        <v>791</v>
      </c>
      <c r="AG80" t="s">
        <v>792</v>
      </c>
      <c r="AH80" t="s">
        <v>793</v>
      </c>
    </row>
    <row r="81" spans="1:34" x14ac:dyDescent="0.3">
      <c r="A81" t="s">
        <v>19</v>
      </c>
      <c r="B81" s="1">
        <f>250209000+E81</f>
        <v>250209105</v>
      </c>
      <c r="C81" s="2">
        <v>45697</v>
      </c>
      <c r="D81" t="s">
        <v>20</v>
      </c>
      <c r="E81">
        <v>105</v>
      </c>
      <c r="F81" t="s">
        <v>6</v>
      </c>
      <c r="G81" t="s">
        <v>571</v>
      </c>
      <c r="H81" t="s">
        <v>572</v>
      </c>
      <c r="I81" t="s">
        <v>573</v>
      </c>
      <c r="J81" t="s">
        <v>4</v>
      </c>
      <c r="K81" s="2">
        <v>43396</v>
      </c>
      <c r="L81">
        <v>75</v>
      </c>
      <c r="M81">
        <v>6</v>
      </c>
      <c r="N81">
        <v>6.29</v>
      </c>
      <c r="O81" t="s">
        <v>135</v>
      </c>
      <c r="P81" t="s">
        <v>487</v>
      </c>
      <c r="Q81" t="s">
        <v>469</v>
      </c>
      <c r="R81" t="s">
        <v>570</v>
      </c>
      <c r="S81" s="6"/>
      <c r="U81"/>
      <c r="Z81" t="s">
        <v>307</v>
      </c>
      <c r="AC81" t="s">
        <v>607</v>
      </c>
      <c r="AD81" t="s">
        <v>794</v>
      </c>
      <c r="AE81" t="s">
        <v>795</v>
      </c>
      <c r="AF81" t="s">
        <v>796</v>
      </c>
      <c r="AG81" t="s">
        <v>351</v>
      </c>
      <c r="AH81" t="s">
        <v>797</v>
      </c>
    </row>
    <row r="82" spans="1:34" x14ac:dyDescent="0.3">
      <c r="A82" t="s">
        <v>19</v>
      </c>
      <c r="B82" s="1">
        <f>250301000+E82</f>
        <v>250301503</v>
      </c>
      <c r="C82" s="2">
        <v>45717</v>
      </c>
      <c r="D82" t="s">
        <v>798</v>
      </c>
      <c r="E82">
        <v>503</v>
      </c>
      <c r="F82" t="s">
        <v>8</v>
      </c>
      <c r="G82" t="s">
        <v>799</v>
      </c>
      <c r="H82" t="s">
        <v>800</v>
      </c>
      <c r="I82" t="s">
        <v>801</v>
      </c>
      <c r="J82" t="s">
        <v>4</v>
      </c>
      <c r="K82" s="2">
        <v>43155</v>
      </c>
      <c r="L82">
        <v>84</v>
      </c>
      <c r="M82">
        <v>7</v>
      </c>
      <c r="N82">
        <v>7.02</v>
      </c>
      <c r="O82" t="s">
        <v>473</v>
      </c>
      <c r="P82" t="s">
        <v>474</v>
      </c>
      <c r="Q82" t="s">
        <v>522</v>
      </c>
      <c r="S82" s="6"/>
      <c r="U82"/>
      <c r="W82" t="s">
        <v>802</v>
      </c>
    </row>
    <row r="83" spans="1:34" x14ac:dyDescent="0.3">
      <c r="A83" t="s">
        <v>19</v>
      </c>
      <c r="B83" s="1">
        <f>250301000+E83</f>
        <v>250301504</v>
      </c>
      <c r="C83" s="2">
        <v>45717</v>
      </c>
      <c r="D83" t="s">
        <v>798</v>
      </c>
      <c r="E83">
        <v>504</v>
      </c>
      <c r="F83" t="s">
        <v>8</v>
      </c>
      <c r="G83" t="s">
        <v>803</v>
      </c>
      <c r="H83" t="s">
        <v>800</v>
      </c>
      <c r="I83" t="s">
        <v>801</v>
      </c>
      <c r="J83" t="s">
        <v>4</v>
      </c>
      <c r="K83" s="2">
        <v>42160</v>
      </c>
      <c r="L83">
        <v>116</v>
      </c>
      <c r="M83">
        <v>9</v>
      </c>
      <c r="N83">
        <v>9.74</v>
      </c>
      <c r="O83" t="s">
        <v>42</v>
      </c>
      <c r="P83" t="s">
        <v>2</v>
      </c>
      <c r="Q83" t="s">
        <v>469</v>
      </c>
      <c r="W83" t="s">
        <v>802</v>
      </c>
    </row>
    <row r="84" spans="1:34" x14ac:dyDescent="0.3">
      <c r="A84" t="s">
        <v>19</v>
      </c>
      <c r="B84" s="1">
        <f>250706000+E84</f>
        <v>250706104</v>
      </c>
      <c r="C84" s="2">
        <v>45844</v>
      </c>
      <c r="D84" t="s">
        <v>20</v>
      </c>
      <c r="E84">
        <v>104</v>
      </c>
      <c r="F84" t="s">
        <v>6</v>
      </c>
      <c r="G84" t="s">
        <v>804</v>
      </c>
      <c r="H84" t="s">
        <v>805</v>
      </c>
      <c r="I84" t="s">
        <v>806</v>
      </c>
      <c r="J84" t="s">
        <v>4</v>
      </c>
      <c r="K84" s="2">
        <v>43275</v>
      </c>
      <c r="L84">
        <v>84</v>
      </c>
      <c r="M84">
        <v>7</v>
      </c>
      <c r="N84">
        <v>7.03</v>
      </c>
      <c r="O84" t="s">
        <v>807</v>
      </c>
      <c r="P84" t="s">
        <v>808</v>
      </c>
      <c r="Q84" t="s">
        <v>11</v>
      </c>
      <c r="W84" t="s">
        <v>809</v>
      </c>
      <c r="AC84">
        <v>1</v>
      </c>
      <c r="AD84">
        <v>11</v>
      </c>
    </row>
    <row r="85" spans="1:34" x14ac:dyDescent="0.3">
      <c r="A85" t="s">
        <v>19</v>
      </c>
      <c r="B85" s="1">
        <f>250706000+E85</f>
        <v>250706105</v>
      </c>
      <c r="C85" s="7">
        <v>45844</v>
      </c>
      <c r="D85" s="2" t="s">
        <v>20</v>
      </c>
      <c r="E85">
        <v>105</v>
      </c>
      <c r="F85" t="s">
        <v>893</v>
      </c>
      <c r="G85" t="s">
        <v>894</v>
      </c>
      <c r="H85" t="s">
        <v>895</v>
      </c>
      <c r="I85" t="s">
        <v>896</v>
      </c>
      <c r="J85" t="s">
        <v>1</v>
      </c>
      <c r="K85" s="2">
        <v>42294</v>
      </c>
      <c r="L85">
        <v>116</v>
      </c>
      <c r="M85">
        <v>9</v>
      </c>
      <c r="N85">
        <v>9.7200000000000006</v>
      </c>
      <c r="O85" t="s">
        <v>473</v>
      </c>
      <c r="P85" t="s">
        <v>860</v>
      </c>
      <c r="Q85" t="s">
        <v>11</v>
      </c>
      <c r="R85" t="s">
        <v>897</v>
      </c>
      <c r="T85" s="6" t="s">
        <v>19</v>
      </c>
    </row>
    <row r="86" spans="1:34" x14ac:dyDescent="0.3">
      <c r="A86" t="s">
        <v>19</v>
      </c>
      <c r="B86" s="1">
        <f t="shared" ref="B86:B88" si="9">250706000+E86</f>
        <v>250706204</v>
      </c>
      <c r="C86" s="2">
        <v>45844</v>
      </c>
      <c r="D86" t="s">
        <v>810</v>
      </c>
      <c r="E86">
        <v>204</v>
      </c>
      <c r="F86" t="s">
        <v>6</v>
      </c>
      <c r="G86" t="s">
        <v>811</v>
      </c>
      <c r="H86" t="s">
        <v>812</v>
      </c>
      <c r="I86" t="s">
        <v>813</v>
      </c>
      <c r="J86" t="s">
        <v>1</v>
      </c>
      <c r="K86" s="2">
        <v>42807</v>
      </c>
      <c r="L86">
        <v>99</v>
      </c>
      <c r="M86">
        <v>8</v>
      </c>
      <c r="N86">
        <v>8.31</v>
      </c>
      <c r="O86" t="s">
        <v>807</v>
      </c>
      <c r="P86" t="s">
        <v>808</v>
      </c>
      <c r="Q86" t="s">
        <v>11</v>
      </c>
    </row>
    <row r="87" spans="1:34" x14ac:dyDescent="0.3">
      <c r="A87" t="s">
        <v>19</v>
      </c>
      <c r="B87" s="1">
        <f t="shared" si="9"/>
        <v>250706501</v>
      </c>
      <c r="C87" s="7">
        <v>45844</v>
      </c>
      <c r="D87" s="2" t="s">
        <v>798</v>
      </c>
      <c r="E87">
        <v>501</v>
      </c>
      <c r="F87" t="s">
        <v>6</v>
      </c>
      <c r="G87" t="s">
        <v>850</v>
      </c>
      <c r="H87" t="s">
        <v>851</v>
      </c>
      <c r="I87" t="s">
        <v>852</v>
      </c>
      <c r="J87" t="s">
        <v>4</v>
      </c>
      <c r="K87" s="2">
        <v>43227</v>
      </c>
      <c r="L87">
        <v>85</v>
      </c>
      <c r="M87">
        <v>7</v>
      </c>
      <c r="N87">
        <v>7.16</v>
      </c>
      <c r="O87" t="s">
        <v>853</v>
      </c>
      <c r="P87" t="s">
        <v>854</v>
      </c>
      <c r="Q87" t="s">
        <v>11</v>
      </c>
      <c r="R87" t="s">
        <v>856</v>
      </c>
      <c r="S87" t="s">
        <v>855</v>
      </c>
    </row>
    <row r="88" spans="1:34" x14ac:dyDescent="0.3">
      <c r="A88" t="s">
        <v>19</v>
      </c>
      <c r="B88" s="1">
        <f t="shared" si="9"/>
        <v>250706504</v>
      </c>
      <c r="C88" s="2">
        <v>45844</v>
      </c>
      <c r="D88" t="s">
        <v>798</v>
      </c>
      <c r="E88">
        <v>504</v>
      </c>
      <c r="F88" t="s">
        <v>814</v>
      </c>
      <c r="G88" t="s">
        <v>815</v>
      </c>
      <c r="H88" t="s">
        <v>816</v>
      </c>
      <c r="I88" t="s">
        <v>817</v>
      </c>
      <c r="J88" t="s">
        <v>1</v>
      </c>
      <c r="K88" s="2">
        <v>42309</v>
      </c>
      <c r="L88">
        <v>116</v>
      </c>
      <c r="M88">
        <v>9</v>
      </c>
      <c r="N88">
        <v>9.68</v>
      </c>
      <c r="O88" t="s">
        <v>807</v>
      </c>
      <c r="P88" t="s">
        <v>808</v>
      </c>
      <c r="Q88" t="s">
        <v>11</v>
      </c>
      <c r="W88" t="s">
        <v>818</v>
      </c>
    </row>
    <row r="89" spans="1:34" x14ac:dyDescent="0.3">
      <c r="A89" t="s">
        <v>19</v>
      </c>
      <c r="B89" s="1">
        <f>250720000+E89</f>
        <v>250720104</v>
      </c>
      <c r="C89" s="2">
        <v>45858</v>
      </c>
      <c r="D89" t="s">
        <v>819</v>
      </c>
      <c r="E89">
        <v>104</v>
      </c>
      <c r="F89" t="s">
        <v>6</v>
      </c>
      <c r="G89" t="s">
        <v>820</v>
      </c>
      <c r="H89" t="s">
        <v>821</v>
      </c>
      <c r="I89" t="s">
        <v>822</v>
      </c>
      <c r="J89" t="s">
        <v>4</v>
      </c>
      <c r="K89" s="2">
        <v>43732</v>
      </c>
      <c r="L89">
        <v>69</v>
      </c>
      <c r="M89">
        <v>5</v>
      </c>
      <c r="N89">
        <v>5.82</v>
      </c>
      <c r="O89" t="s">
        <v>807</v>
      </c>
      <c r="P89" t="s">
        <v>823</v>
      </c>
    </row>
    <row r="90" spans="1:34" x14ac:dyDescent="0.3">
      <c r="A90" t="s">
        <v>19</v>
      </c>
      <c r="B90" s="1">
        <f t="shared" ref="B90:B95" si="10">250720000+E90</f>
        <v>250720203</v>
      </c>
      <c r="C90" s="2">
        <v>45858</v>
      </c>
      <c r="D90" t="s">
        <v>810</v>
      </c>
      <c r="E90">
        <v>203</v>
      </c>
      <c r="F90" t="s">
        <v>6</v>
      </c>
      <c r="G90" t="s">
        <v>824</v>
      </c>
      <c r="H90" t="s">
        <v>825</v>
      </c>
      <c r="I90" t="s">
        <v>826</v>
      </c>
      <c r="J90" t="s">
        <v>4</v>
      </c>
      <c r="K90" s="2">
        <v>42660</v>
      </c>
      <c r="L90">
        <v>105</v>
      </c>
      <c r="M90">
        <v>8</v>
      </c>
      <c r="N90">
        <v>8.76</v>
      </c>
      <c r="O90" t="s">
        <v>827</v>
      </c>
      <c r="P90" t="s">
        <v>828</v>
      </c>
      <c r="W90" t="s">
        <v>829</v>
      </c>
    </row>
    <row r="91" spans="1:34" x14ac:dyDescent="0.3">
      <c r="A91" t="s">
        <v>19</v>
      </c>
      <c r="B91" s="1">
        <f t="shared" si="10"/>
        <v>250720205</v>
      </c>
      <c r="C91" s="2">
        <v>45858</v>
      </c>
      <c r="D91" t="s">
        <v>810</v>
      </c>
      <c r="E91">
        <v>205</v>
      </c>
      <c r="F91" t="s">
        <v>8</v>
      </c>
      <c r="G91" t="s">
        <v>830</v>
      </c>
      <c r="H91" t="s">
        <v>831</v>
      </c>
      <c r="I91" t="s">
        <v>832</v>
      </c>
      <c r="J91" t="s">
        <v>1</v>
      </c>
      <c r="K91" s="2">
        <v>42661</v>
      </c>
      <c r="L91">
        <v>105</v>
      </c>
      <c r="M91">
        <v>8</v>
      </c>
      <c r="N91">
        <v>8.76</v>
      </c>
      <c r="O91" t="s">
        <v>42</v>
      </c>
      <c r="P91" t="s">
        <v>833</v>
      </c>
      <c r="W91" t="s">
        <v>834</v>
      </c>
      <c r="X91" t="s">
        <v>835</v>
      </c>
    </row>
    <row r="92" spans="1:34" x14ac:dyDescent="0.3">
      <c r="A92" t="s">
        <v>19</v>
      </c>
      <c r="B92" s="1">
        <f t="shared" si="10"/>
        <v>250720504</v>
      </c>
      <c r="C92" s="2">
        <v>45858</v>
      </c>
      <c r="D92" t="s">
        <v>798</v>
      </c>
      <c r="E92">
        <v>504</v>
      </c>
      <c r="F92" t="s">
        <v>6</v>
      </c>
      <c r="G92" t="s">
        <v>836</v>
      </c>
      <c r="H92" t="s">
        <v>837</v>
      </c>
      <c r="I92" t="s">
        <v>838</v>
      </c>
      <c r="J92" t="s">
        <v>1</v>
      </c>
      <c r="K92" s="2">
        <v>43910</v>
      </c>
      <c r="L92">
        <v>64</v>
      </c>
      <c r="M92">
        <v>5</v>
      </c>
      <c r="N92">
        <v>5.33</v>
      </c>
      <c r="O92" t="s">
        <v>807</v>
      </c>
      <c r="P92" t="s">
        <v>823</v>
      </c>
    </row>
    <row r="93" spans="1:34" x14ac:dyDescent="0.3">
      <c r="A93" t="s">
        <v>19</v>
      </c>
      <c r="B93" s="1">
        <f t="shared" si="10"/>
        <v>250720505</v>
      </c>
      <c r="C93" s="2">
        <v>45858</v>
      </c>
      <c r="D93" t="s">
        <v>798</v>
      </c>
      <c r="E93">
        <v>505</v>
      </c>
      <c r="F93" t="s">
        <v>6</v>
      </c>
      <c r="G93" t="s">
        <v>839</v>
      </c>
      <c r="H93" t="s">
        <v>840</v>
      </c>
      <c r="I93" t="s">
        <v>841</v>
      </c>
      <c r="J93" t="s">
        <v>1</v>
      </c>
      <c r="K93" s="2">
        <v>43297</v>
      </c>
      <c r="L93">
        <v>84</v>
      </c>
      <c r="M93">
        <v>7</v>
      </c>
      <c r="N93">
        <v>7.01</v>
      </c>
      <c r="O93" t="s">
        <v>42</v>
      </c>
      <c r="P93" t="s">
        <v>833</v>
      </c>
      <c r="W93" t="s">
        <v>842</v>
      </c>
    </row>
    <row r="94" spans="1:34" x14ac:dyDescent="0.3">
      <c r="A94" t="s">
        <v>19</v>
      </c>
      <c r="B94" s="1">
        <f t="shared" si="10"/>
        <v>250720604</v>
      </c>
      <c r="C94" s="2">
        <v>45858</v>
      </c>
      <c r="D94" t="s">
        <v>843</v>
      </c>
      <c r="E94">
        <v>604</v>
      </c>
      <c r="F94" t="s">
        <v>6</v>
      </c>
      <c r="G94" t="s">
        <v>844</v>
      </c>
      <c r="H94" t="s">
        <v>845</v>
      </c>
      <c r="I94" t="s">
        <v>846</v>
      </c>
      <c r="J94" t="s">
        <v>1</v>
      </c>
      <c r="K94" s="2">
        <v>43511</v>
      </c>
      <c r="L94">
        <v>77</v>
      </c>
      <c r="M94">
        <v>6</v>
      </c>
      <c r="N94">
        <v>6.43</v>
      </c>
      <c r="O94" t="s">
        <v>807</v>
      </c>
      <c r="P94" t="s">
        <v>823</v>
      </c>
    </row>
    <row r="95" spans="1:34" x14ac:dyDescent="0.3">
      <c r="A95" t="s">
        <v>19</v>
      </c>
      <c r="B95" s="1">
        <f t="shared" si="10"/>
        <v>250720605</v>
      </c>
      <c r="C95" s="2">
        <v>45858</v>
      </c>
      <c r="D95" t="s">
        <v>843</v>
      </c>
      <c r="E95">
        <v>605</v>
      </c>
      <c r="F95" t="s">
        <v>6</v>
      </c>
      <c r="G95" t="s">
        <v>847</v>
      </c>
      <c r="H95" t="s">
        <v>848</v>
      </c>
      <c r="I95" t="s">
        <v>849</v>
      </c>
      <c r="J95" t="s">
        <v>4</v>
      </c>
      <c r="K95" s="2">
        <v>43832</v>
      </c>
      <c r="L95">
        <v>66</v>
      </c>
      <c r="M95">
        <v>5</v>
      </c>
      <c r="N95">
        <v>5.55</v>
      </c>
      <c r="O95" t="s">
        <v>42</v>
      </c>
      <c r="P95" t="s">
        <v>833</v>
      </c>
    </row>
    <row r="96" spans="1:34" x14ac:dyDescent="0.3">
      <c r="A96" t="s">
        <v>19</v>
      </c>
      <c r="B96">
        <f>250816000+E96</f>
        <v>250816205</v>
      </c>
      <c r="C96" s="2">
        <v>45885</v>
      </c>
      <c r="D96" t="s">
        <v>810</v>
      </c>
      <c r="E96">
        <v>205</v>
      </c>
      <c r="F96" t="s">
        <v>8</v>
      </c>
      <c r="G96" t="s">
        <v>857</v>
      </c>
      <c r="H96" t="s">
        <v>858</v>
      </c>
      <c r="I96" t="s">
        <v>859</v>
      </c>
      <c r="J96" t="s">
        <v>4</v>
      </c>
      <c r="K96" s="2">
        <v>43996</v>
      </c>
      <c r="L96">
        <v>62</v>
      </c>
      <c r="M96">
        <v>5</v>
      </c>
      <c r="N96">
        <v>5.17</v>
      </c>
      <c r="O96" t="s">
        <v>853</v>
      </c>
      <c r="P96" t="s">
        <v>860</v>
      </c>
      <c r="Q96" t="s">
        <v>11</v>
      </c>
      <c r="W96" t="s">
        <v>861</v>
      </c>
    </row>
    <row r="97" spans="1:24" x14ac:dyDescent="0.3">
      <c r="A97" t="s">
        <v>19</v>
      </c>
      <c r="B97">
        <f t="shared" ref="B97:B98" si="11">250816000+E97</f>
        <v>250816401</v>
      </c>
      <c r="C97" s="2">
        <v>45885</v>
      </c>
      <c r="D97" t="s">
        <v>862</v>
      </c>
      <c r="E97">
        <v>401</v>
      </c>
      <c r="F97" t="s">
        <v>6</v>
      </c>
      <c r="G97" t="s">
        <v>863</v>
      </c>
      <c r="H97" t="s">
        <v>864</v>
      </c>
      <c r="I97" t="s">
        <v>865</v>
      </c>
      <c r="J97" t="s">
        <v>4</v>
      </c>
      <c r="K97" s="2">
        <v>43771</v>
      </c>
      <c r="L97">
        <v>69</v>
      </c>
      <c r="M97">
        <v>5</v>
      </c>
      <c r="N97">
        <v>5.79</v>
      </c>
      <c r="O97" t="s">
        <v>486</v>
      </c>
      <c r="P97" t="s">
        <v>866</v>
      </c>
      <c r="Q97" t="s">
        <v>11</v>
      </c>
    </row>
    <row r="98" spans="1:24" x14ac:dyDescent="0.3">
      <c r="A98" t="s">
        <v>19</v>
      </c>
      <c r="B98">
        <f t="shared" si="11"/>
        <v>250816504</v>
      </c>
      <c r="C98" s="2">
        <v>45885</v>
      </c>
      <c r="D98" t="s">
        <v>798</v>
      </c>
      <c r="E98">
        <v>504</v>
      </c>
      <c r="F98" t="s">
        <v>8</v>
      </c>
      <c r="G98" t="s">
        <v>867</v>
      </c>
      <c r="H98" t="s">
        <v>868</v>
      </c>
      <c r="I98" t="s">
        <v>869</v>
      </c>
      <c r="J98" t="s">
        <v>1</v>
      </c>
      <c r="K98" s="2">
        <v>43900</v>
      </c>
      <c r="L98">
        <v>65</v>
      </c>
      <c r="M98">
        <v>5</v>
      </c>
      <c r="N98">
        <v>5.43</v>
      </c>
      <c r="O98" t="s">
        <v>807</v>
      </c>
      <c r="P98" t="s">
        <v>870</v>
      </c>
      <c r="Q98" t="s">
        <v>11</v>
      </c>
    </row>
    <row r="99" spans="1:24" x14ac:dyDescent="0.3">
      <c r="A99" t="s">
        <v>19</v>
      </c>
      <c r="B99">
        <f>250823000+E99</f>
        <v>250823201</v>
      </c>
      <c r="C99" s="2">
        <v>45892</v>
      </c>
      <c r="D99" s="2" t="s">
        <v>810</v>
      </c>
      <c r="E99">
        <v>201</v>
      </c>
      <c r="F99" t="s">
        <v>6</v>
      </c>
      <c r="G99" t="s">
        <v>898</v>
      </c>
      <c r="H99" t="s">
        <v>899</v>
      </c>
      <c r="I99" t="s">
        <v>900</v>
      </c>
      <c r="J99" t="s">
        <v>1</v>
      </c>
      <c r="K99" s="2">
        <v>42932</v>
      </c>
      <c r="L99">
        <v>97</v>
      </c>
      <c r="M99">
        <v>8</v>
      </c>
      <c r="N99">
        <v>8.1</v>
      </c>
      <c r="O99" t="s">
        <v>853</v>
      </c>
      <c r="P99" t="s">
        <v>866</v>
      </c>
      <c r="Q99" t="s">
        <v>11</v>
      </c>
      <c r="R99" t="s">
        <v>901</v>
      </c>
      <c r="S99" t="s">
        <v>902</v>
      </c>
      <c r="W99" t="s">
        <v>903</v>
      </c>
    </row>
    <row r="100" spans="1:24" x14ac:dyDescent="0.3">
      <c r="A100" t="s">
        <v>19</v>
      </c>
      <c r="B100">
        <f>250823000+E100</f>
        <v>250823403</v>
      </c>
      <c r="C100" s="2">
        <v>45892</v>
      </c>
      <c r="D100" t="s">
        <v>862</v>
      </c>
      <c r="E100">
        <v>403</v>
      </c>
      <c r="F100" t="s">
        <v>6</v>
      </c>
      <c r="G100" t="s">
        <v>871</v>
      </c>
      <c r="H100" t="s">
        <v>872</v>
      </c>
      <c r="I100" t="s">
        <v>873</v>
      </c>
      <c r="J100" t="s">
        <v>4</v>
      </c>
      <c r="K100" s="2">
        <v>43973</v>
      </c>
      <c r="L100">
        <v>63</v>
      </c>
      <c r="M100">
        <v>5</v>
      </c>
      <c r="N100">
        <v>5.25</v>
      </c>
      <c r="O100" t="s">
        <v>827</v>
      </c>
      <c r="P100" t="s">
        <v>870</v>
      </c>
      <c r="Q100" t="s">
        <v>11</v>
      </c>
    </row>
    <row r="101" spans="1:24" x14ac:dyDescent="0.3">
      <c r="A101" t="s">
        <v>19</v>
      </c>
      <c r="B101">
        <f t="shared" ref="B101:B103" si="12">250823000+E101</f>
        <v>250823404</v>
      </c>
      <c r="C101" s="2">
        <v>45892</v>
      </c>
      <c r="D101" t="s">
        <v>862</v>
      </c>
      <c r="E101">
        <v>404</v>
      </c>
      <c r="F101" t="s">
        <v>6</v>
      </c>
      <c r="G101" t="s">
        <v>874</v>
      </c>
      <c r="H101" t="s">
        <v>875</v>
      </c>
      <c r="I101" t="s">
        <v>876</v>
      </c>
      <c r="J101" t="s">
        <v>1</v>
      </c>
      <c r="K101" s="2">
        <v>43725</v>
      </c>
      <c r="L101">
        <v>71</v>
      </c>
      <c r="M101">
        <v>5</v>
      </c>
      <c r="N101">
        <v>5.93</v>
      </c>
      <c r="O101" t="s">
        <v>473</v>
      </c>
      <c r="P101" t="s">
        <v>823</v>
      </c>
      <c r="Q101" t="s">
        <v>11</v>
      </c>
    </row>
    <row r="102" spans="1:24" x14ac:dyDescent="0.3">
      <c r="A102" t="s">
        <v>19</v>
      </c>
      <c r="B102">
        <f t="shared" si="12"/>
        <v>250823501</v>
      </c>
      <c r="C102" s="2">
        <v>45892</v>
      </c>
      <c r="D102" s="2" t="s">
        <v>798</v>
      </c>
      <c r="E102">
        <v>501</v>
      </c>
      <c r="F102" t="s">
        <v>6</v>
      </c>
      <c r="G102" t="s">
        <v>904</v>
      </c>
      <c r="H102" t="s">
        <v>905</v>
      </c>
      <c r="I102" t="s">
        <v>906</v>
      </c>
      <c r="J102" t="s">
        <v>1</v>
      </c>
      <c r="K102" s="2">
        <v>43962</v>
      </c>
      <c r="L102">
        <v>63</v>
      </c>
      <c r="M102">
        <v>5</v>
      </c>
      <c r="N102">
        <v>5.28</v>
      </c>
      <c r="O102" t="s">
        <v>853</v>
      </c>
      <c r="P102" t="s">
        <v>866</v>
      </c>
      <c r="Q102" t="s">
        <v>11</v>
      </c>
      <c r="R102" t="s">
        <v>901</v>
      </c>
      <c r="S102" t="s">
        <v>902</v>
      </c>
    </row>
    <row r="103" spans="1:24" x14ac:dyDescent="0.3">
      <c r="A103" t="s">
        <v>19</v>
      </c>
      <c r="B103">
        <f t="shared" si="12"/>
        <v>250823503</v>
      </c>
      <c r="C103" s="2">
        <v>45892</v>
      </c>
      <c r="D103" t="s">
        <v>798</v>
      </c>
      <c r="E103">
        <v>503</v>
      </c>
      <c r="F103" t="s">
        <v>6</v>
      </c>
      <c r="G103" t="s">
        <v>877</v>
      </c>
      <c r="H103" t="s">
        <v>878</v>
      </c>
      <c r="I103" t="s">
        <v>879</v>
      </c>
      <c r="J103" t="s">
        <v>4</v>
      </c>
      <c r="K103" s="2">
        <v>43378</v>
      </c>
      <c r="L103">
        <v>82</v>
      </c>
      <c r="M103">
        <v>6</v>
      </c>
      <c r="N103">
        <v>6.88</v>
      </c>
      <c r="O103" t="s">
        <v>827</v>
      </c>
      <c r="P103" t="s">
        <v>870</v>
      </c>
      <c r="Q103" t="s">
        <v>11</v>
      </c>
    </row>
    <row r="104" spans="1:24" x14ac:dyDescent="0.3">
      <c r="A104" t="s">
        <v>19</v>
      </c>
      <c r="B104">
        <f>250830000+E104</f>
        <v>250830101</v>
      </c>
      <c r="C104" s="2">
        <v>45899</v>
      </c>
      <c r="D104" t="s">
        <v>819</v>
      </c>
      <c r="E104">
        <v>101</v>
      </c>
      <c r="F104" t="s">
        <v>6</v>
      </c>
      <c r="G104" t="s">
        <v>880</v>
      </c>
      <c r="H104" t="s">
        <v>881</v>
      </c>
      <c r="I104" t="s">
        <v>882</v>
      </c>
      <c r="J104" t="s">
        <v>4</v>
      </c>
      <c r="K104" s="2">
        <v>43806</v>
      </c>
      <c r="L104">
        <v>68</v>
      </c>
      <c r="M104">
        <v>5</v>
      </c>
      <c r="N104">
        <v>5.73</v>
      </c>
      <c r="O104" t="s">
        <v>853</v>
      </c>
      <c r="P104" t="s">
        <v>866</v>
      </c>
      <c r="Q104" t="s">
        <v>11</v>
      </c>
      <c r="X104" t="s">
        <v>883</v>
      </c>
    </row>
    <row r="105" spans="1:24" x14ac:dyDescent="0.3">
      <c r="A105" t="s">
        <v>19</v>
      </c>
      <c r="B105">
        <f t="shared" ref="B105:B106" si="13">250830000+E105</f>
        <v>250830304</v>
      </c>
      <c r="C105" s="2">
        <v>45899</v>
      </c>
      <c r="D105" t="s">
        <v>884</v>
      </c>
      <c r="E105">
        <v>304</v>
      </c>
      <c r="F105" t="s">
        <v>8</v>
      </c>
      <c r="G105" t="s">
        <v>885</v>
      </c>
      <c r="H105" t="s">
        <v>886</v>
      </c>
      <c r="I105" t="s">
        <v>887</v>
      </c>
      <c r="J105" t="s">
        <v>1</v>
      </c>
      <c r="K105" s="2">
        <v>43229</v>
      </c>
      <c r="L105">
        <v>87</v>
      </c>
      <c r="M105">
        <v>7</v>
      </c>
      <c r="N105">
        <v>7.31</v>
      </c>
      <c r="O105" t="s">
        <v>473</v>
      </c>
      <c r="P105" t="s">
        <v>823</v>
      </c>
      <c r="Q105" t="s">
        <v>11</v>
      </c>
      <c r="W105" t="s">
        <v>888</v>
      </c>
    </row>
    <row r="106" spans="1:24" x14ac:dyDescent="0.3">
      <c r="A106" t="s">
        <v>19</v>
      </c>
      <c r="B106">
        <f t="shared" si="13"/>
        <v>250830501</v>
      </c>
      <c r="C106" s="2">
        <v>45899</v>
      </c>
      <c r="D106" t="s">
        <v>798</v>
      </c>
      <c r="E106">
        <v>501</v>
      </c>
      <c r="F106" t="s">
        <v>8</v>
      </c>
      <c r="G106" t="s">
        <v>889</v>
      </c>
      <c r="H106" t="s">
        <v>890</v>
      </c>
      <c r="I106" t="s">
        <v>891</v>
      </c>
      <c r="J106" t="s">
        <v>4</v>
      </c>
      <c r="K106" s="2">
        <v>43376</v>
      </c>
      <c r="L106">
        <v>82</v>
      </c>
      <c r="M106">
        <v>6</v>
      </c>
      <c r="N106">
        <v>6.91</v>
      </c>
      <c r="O106" t="s">
        <v>853</v>
      </c>
      <c r="P106" t="s">
        <v>866</v>
      </c>
      <c r="Q106" t="s">
        <v>11</v>
      </c>
      <c r="W106" t="s">
        <v>892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Jisu_Chung</dc:creator>
  <cp:lastModifiedBy>leelab</cp:lastModifiedBy>
  <dcterms:created xsi:type="dcterms:W3CDTF">2024-05-02T07:22:26Z</dcterms:created>
  <dcterms:modified xsi:type="dcterms:W3CDTF">2026-01-27T13:31:56Z</dcterms:modified>
</cp:coreProperties>
</file>