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CNL\DEvl\Multi\Museum_data\Exp2_Multi_boundary_Control\"/>
    </mc:Choice>
  </mc:AlternateContent>
  <xr:revisionPtr revIDLastSave="0" documentId="13_ncr:1_{31594B07-2B7B-4F20-832F-879A29C45F81}" xr6:coauthVersionLast="36" xr6:coauthVersionMax="36" xr10:uidLastSave="{00000000-0000-0000-0000-000000000000}"/>
  <bookViews>
    <workbookView xWindow="0" yWindow="0" windowWidth="33930" windowHeight="12765" xr2:uid="{E6C45370-CA08-457A-9E7B-9D1325BBC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1" l="1"/>
  <c r="B58" i="1" l="1"/>
  <c r="B57" i="1"/>
  <c r="B54" i="1"/>
  <c r="B56" i="1"/>
  <c r="B46" i="1" l="1"/>
  <c r="B48" i="1" l="1"/>
  <c r="B49" i="1"/>
  <c r="B50" i="1"/>
  <c r="B51" i="1"/>
  <c r="B52" i="1"/>
  <c r="B53" i="1"/>
  <c r="B47" i="1"/>
  <c r="B45" i="1"/>
  <c r="B44" i="1" l="1"/>
  <c r="B43" i="1"/>
  <c r="B38" i="1"/>
  <c r="B39" i="1"/>
  <c r="B40" i="1"/>
  <c r="B41" i="1"/>
  <c r="B42" i="1"/>
  <c r="B37" i="1"/>
  <c r="B36" i="1" l="1"/>
  <c r="B35" i="1" l="1"/>
  <c r="B34" i="1"/>
  <c r="B33" i="1"/>
  <c r="B32" i="1"/>
  <c r="B29" i="1" l="1"/>
  <c r="B28" i="1" l="1"/>
  <c r="B30" i="1"/>
  <c r="B31" i="1"/>
  <c r="B27" i="1"/>
  <c r="B22" i="1"/>
  <c r="B23" i="1"/>
  <c r="B24" i="1"/>
  <c r="B25" i="1"/>
  <c r="B26" i="1"/>
  <c r="B21" i="1"/>
  <c r="B20" i="1"/>
  <c r="B15" i="1" l="1"/>
  <c r="B16" i="1"/>
  <c r="B17" i="1"/>
  <c r="B18" i="1"/>
  <c r="B19" i="1"/>
  <c r="B14" i="1"/>
  <c r="B13" i="1"/>
  <c r="B12" i="1" l="1"/>
  <c r="B11" i="1"/>
</calcChain>
</file>

<file path=xl/sharedStrings.xml><?xml version="1.0" encoding="utf-8"?>
<sst xmlns="http://schemas.openxmlformats.org/spreadsheetml/2006/main" count="889" uniqueCount="456">
  <si>
    <t>남</t>
  </si>
  <si>
    <t>Yoga</t>
  </si>
  <si>
    <t>3+knob</t>
  </si>
  <si>
    <t>여</t>
  </si>
  <si>
    <t>사전예약</t>
  </si>
  <si>
    <t>현장참여</t>
  </si>
  <si>
    <t>4keys</t>
  </si>
  <si>
    <t>PM 3:30</t>
  </si>
  <si>
    <t>PM 4:30</t>
  </si>
  <si>
    <t>JC</t>
  </si>
  <si>
    <t>expdate</t>
  </si>
  <si>
    <t>exptime</t>
  </si>
  <si>
    <t>subjectkey</t>
  </si>
  <si>
    <t>pre/onsite</t>
  </si>
  <si>
    <t>name_child</t>
  </si>
  <si>
    <t>name_parent</t>
  </si>
  <si>
    <t>phone</t>
  </si>
  <si>
    <t>sex</t>
  </si>
  <si>
    <t>birthdate</t>
  </si>
  <si>
    <t>age_mo</t>
  </si>
  <si>
    <t>age_yr</t>
  </si>
  <si>
    <t>age_yrfrac</t>
  </si>
  <si>
    <t>experimenter</t>
  </si>
  <si>
    <t>computer</t>
  </si>
  <si>
    <t>button</t>
  </si>
  <si>
    <t>Task</t>
    <phoneticPr fontId="1" type="noConversion"/>
  </si>
  <si>
    <t>ID</t>
    <phoneticPr fontId="1" type="noConversion"/>
  </si>
  <si>
    <t>JSE</t>
  </si>
  <si>
    <t>White+touch</t>
  </si>
  <si>
    <t>etc</t>
    <phoneticPr fontId="1" type="noConversion"/>
  </si>
  <si>
    <t>reject</t>
    <phoneticPr fontId="1" type="noConversion"/>
  </si>
  <si>
    <t>run_reject</t>
    <phoneticPr fontId="1" type="noConversion"/>
  </si>
  <si>
    <t>em_pass</t>
    <phoneticPr fontId="1" type="noConversion"/>
  </si>
  <si>
    <t>inter_pass</t>
    <phoneticPr fontId="1" type="noConversion"/>
  </si>
  <si>
    <t>pass/pending/fail</t>
  </si>
  <si>
    <t>headphone</t>
  </si>
  <si>
    <t>pointing</t>
  </si>
  <si>
    <t>reason_pass/fail</t>
  </si>
  <si>
    <t>subjectkey_v2</t>
  </si>
  <si>
    <t>note_1</t>
  </si>
  <si>
    <t>note_2</t>
  </si>
  <si>
    <t>Q1</t>
  </si>
  <si>
    <t>Q2- ani, loc strategy</t>
  </si>
  <si>
    <t>Q3- ani, loc easy</t>
  </si>
  <si>
    <t>Q4-ani, OX</t>
  </si>
  <si>
    <t>EM_multi_control</t>
  </si>
  <si>
    <t>김지산</t>
  </si>
  <si>
    <t>박선희</t>
  </si>
  <si>
    <t>010-4782-5679</t>
  </si>
  <si>
    <t>박소유</t>
  </si>
  <si>
    <t>박준상</t>
  </si>
  <si>
    <t>010-9755-0573</t>
  </si>
  <si>
    <t>에이든</t>
  </si>
  <si>
    <t>정서진</t>
  </si>
  <si>
    <t>010-9429-2443</t>
  </si>
  <si>
    <t>박아인</t>
  </si>
  <si>
    <t>박주형</t>
  </si>
  <si>
    <t>010-5712-8093</t>
  </si>
  <si>
    <t>HJA</t>
  </si>
  <si>
    <t>Pink</t>
  </si>
  <si>
    <t>PM 2:30</t>
  </si>
  <si>
    <t>김지오</t>
  </si>
  <si>
    <t>김국현</t>
  </si>
  <si>
    <t>010-2185-0700</t>
  </si>
  <si>
    <t>CSE</t>
  </si>
  <si>
    <t>White+touch + GK ipad 촬영</t>
  </si>
  <si>
    <t>이전에 참여함</t>
    <phoneticPr fontId="1" type="noConversion"/>
  </si>
  <si>
    <t>최가온</t>
  </si>
  <si>
    <t>최고운</t>
  </si>
  <si>
    <t>010-8402-0087</t>
  </si>
  <si>
    <t>KNW</t>
  </si>
  <si>
    <t>HS+touch+초록아이패드</t>
  </si>
  <si>
    <t>이지안</t>
  </si>
  <si>
    <t>이세희</t>
  </si>
  <si>
    <t>010-8789-2945</t>
  </si>
  <si>
    <t>Yoga + JC ipad 촬영</t>
  </si>
  <si>
    <t>박시은</t>
  </si>
  <si>
    <t>장지연</t>
  </si>
  <si>
    <t>010-5052-6348</t>
  </si>
  <si>
    <t>PM 12:30</t>
  </si>
  <si>
    <t>오윤채</t>
  </si>
  <si>
    <t>엄지현</t>
  </si>
  <si>
    <t>010-7499-6114</t>
  </si>
  <si>
    <t>장무빈</t>
  </si>
  <si>
    <t>장진영</t>
  </si>
  <si>
    <t>010-8710-5247</t>
  </si>
  <si>
    <t>white+s1</t>
  </si>
  <si>
    <t>안연우</t>
  </si>
  <si>
    <t>안정곤</t>
  </si>
  <si>
    <t>010-7300-0825</t>
  </si>
  <si>
    <t>hs+phone</t>
  </si>
  <si>
    <t>박승찬</t>
  </si>
  <si>
    <t>남보라</t>
  </si>
  <si>
    <t>010-5339-5551</t>
  </si>
  <si>
    <t>박승아</t>
  </si>
  <si>
    <t>Yoga + GK ipad 촬영</t>
  </si>
  <si>
    <t>김려안</t>
  </si>
  <si>
    <t>조정인</t>
  </si>
  <si>
    <t>010-9996-3331</t>
  </si>
  <si>
    <t>YJ</t>
  </si>
  <si>
    <t>김연서</t>
  </si>
  <si>
    <t>김현성</t>
  </si>
  <si>
    <t>010-9717-4157</t>
  </si>
  <si>
    <t>4 keys</t>
  </si>
  <si>
    <t>김아인</t>
  </si>
  <si>
    <t>김충호</t>
  </si>
  <si>
    <t>010-9733-9354</t>
  </si>
  <si>
    <t>신지환</t>
  </si>
  <si>
    <t>김샛별</t>
  </si>
  <si>
    <t>010-2768-4130</t>
  </si>
  <si>
    <t>안정민</t>
  </si>
  <si>
    <t>이세라</t>
  </si>
  <si>
    <t>010-9096-0279</t>
  </si>
  <si>
    <t>김지후</t>
  </si>
  <si>
    <t>배은진</t>
  </si>
  <si>
    <t>010-4669-7970</t>
  </si>
  <si>
    <t>이채아</t>
  </si>
  <si>
    <t>이수정</t>
  </si>
  <si>
    <t>010-9688-6055</t>
  </si>
  <si>
    <t>CJY</t>
  </si>
  <si>
    <t>HS</t>
  </si>
  <si>
    <t>4key</t>
  </si>
  <si>
    <t>이규현</t>
  </si>
  <si>
    <t>황은하</t>
  </si>
  <si>
    <t>010-9888-0925</t>
  </si>
  <si>
    <t>BH</t>
  </si>
  <si>
    <t>White</t>
  </si>
  <si>
    <t>3knob</t>
  </si>
  <si>
    <t>이시온</t>
  </si>
  <si>
    <t>채희정</t>
  </si>
  <si>
    <t>010-3171-4735</t>
  </si>
  <si>
    <t>KSH</t>
  </si>
  <si>
    <t>노이준</t>
  </si>
  <si>
    <t>김보금</t>
  </si>
  <si>
    <t>010-5486-7787</t>
  </si>
  <si>
    <t>현장모객</t>
  </si>
  <si>
    <t>장현건</t>
  </si>
  <si>
    <t>이성심</t>
  </si>
  <si>
    <t>010-5189-6829</t>
  </si>
  <si>
    <t>고준서</t>
  </si>
  <si>
    <t>고봉준</t>
  </si>
  <si>
    <t>010-2644-9129</t>
  </si>
  <si>
    <t>AM 11:30</t>
  </si>
  <si>
    <t>김이든</t>
  </si>
  <si>
    <t>정미선</t>
  </si>
  <si>
    <t>010-5820-1102</t>
  </si>
  <si>
    <t>민서현</t>
  </si>
  <si>
    <t>김승현</t>
  </si>
  <si>
    <t>010-7154-7960</t>
  </si>
  <si>
    <t>김가윤</t>
  </si>
  <si>
    <t>박선영</t>
  </si>
  <si>
    <t>010-5021-8892</t>
  </si>
  <si>
    <t>김태윤</t>
  </si>
  <si>
    <t>한정화</t>
  </si>
  <si>
    <t>010-7148-3317</t>
  </si>
  <si>
    <t>유소희</t>
  </si>
  <si>
    <t>김미정</t>
  </si>
  <si>
    <t>010-2324-2653</t>
  </si>
  <si>
    <t>AM 10:30</t>
  </si>
  <si>
    <t>강예리</t>
  </si>
  <si>
    <t>이서영</t>
  </si>
  <si>
    <t>010-3890-7890</t>
  </si>
  <si>
    <t>103, 104 쌍둥이</t>
  </si>
  <si>
    <t>문준호</t>
  </si>
  <si>
    <t>임현아</t>
  </si>
  <si>
    <t>010-2065-5349</t>
  </si>
  <si>
    <t>3key+knob</t>
  </si>
  <si>
    <t>최아인</t>
  </si>
  <si>
    <t>정성희</t>
  </si>
  <si>
    <t>010-6242-2990</t>
  </si>
  <si>
    <t>502, 503 자매</t>
  </si>
  <si>
    <t>박수연</t>
  </si>
  <si>
    <t>서지연</t>
  </si>
  <si>
    <t>010-3398-8706</t>
  </si>
  <si>
    <t>00000000</t>
  </si>
  <si>
    <t>00000000</t>
    <phoneticPr fontId="1" type="noConversion"/>
  </si>
  <si>
    <t>10000111</t>
    <phoneticPr fontId="1" type="noConversion"/>
  </si>
  <si>
    <t>00001111</t>
    <phoneticPr fontId="1" type="noConversion"/>
  </si>
  <si>
    <t>00000111</t>
    <phoneticPr fontId="1" type="noConversion"/>
  </si>
  <si>
    <t>11111111</t>
    <phoneticPr fontId="1" type="noConversion"/>
  </si>
  <si>
    <t>00001000</t>
    <phoneticPr fontId="1" type="noConversion"/>
  </si>
  <si>
    <t>00000011</t>
    <phoneticPr fontId="1" type="noConversion"/>
  </si>
  <si>
    <t>허지아</t>
  </si>
  <si>
    <t>허만승</t>
  </si>
  <si>
    <t>010-3974-3734</t>
  </si>
  <si>
    <t>trial_reject</t>
    <phoneticPr fontId="1" type="noConversion"/>
  </si>
  <si>
    <t>practice부터</t>
  </si>
  <si>
    <t>오른손</t>
  </si>
  <si>
    <t>set 4</t>
  </si>
  <si>
    <t>trial 1 첫 번째 동물 encoding 놓친듯, trial 3 연속으로 응답, ox 퀴즈만 집중, trial 6-8 응답 대충, 집중x/진행자를 계속 쳐다보고 집중을 못 함.</t>
  </si>
  <si>
    <t>재밌었어요/소리 달랐음/배경은 똑같이 생김, 벽 방해됨</t>
  </si>
  <si>
    <t>몬스터: 위의 모습/위치: 머리로 생각</t>
  </si>
  <si>
    <t>빨강/왼쪽 위 구멍</t>
  </si>
  <si>
    <t>둘 다 기억함</t>
  </si>
  <si>
    <t>set 7, zoom 전 타임거(503)랑 같이 녹화됨</t>
  </si>
  <si>
    <t>run 2까지 하고, 새로운 코드로 실행함. 그래서 run 2개 더 함. 중간에 화장실 다녀왔는데 신나서 키보드 막 누르는 경향, run 3-4는 버튼 연타하면서 제대로 안 함.(ex 계속 x만 누르기)</t>
  </si>
  <si>
    <t>x</t>
  </si>
  <si>
    <t>그냥 외움</t>
  </si>
  <si>
    <t>2, 3, 5번 기억이 잘 난다</t>
  </si>
  <si>
    <t>같이 기억했다.</t>
  </si>
  <si>
    <t>set 7</t>
  </si>
  <si>
    <t>trial 4 단어 퀴즈에서 다 x 누름, 화장실 가서 run 4부터 다시 했는데 시간 없어서 다는 못함./trial 6 못 봐서 찍음/말하면서 암기하려고 함, 특히 단어 퀴즈. 손가락으로 위치 기억하려고 하고, 말로도 함(대각선! 이렇게 말하면서)</t>
  </si>
  <si>
    <t>재밌었어요/빠- 하는 소리 남, 두 방 소리가 달랐고, 다섯 번 나는 곳도 있었음/배경 다른 것 같았고, 도움이나 방해는 보통정도</t>
  </si>
  <si>
    <t>몬스터: 순서 보고 달달 외웠다./위치: 번호로 외웠다.</t>
  </si>
  <si>
    <t>1, 4 잘 기억남/위치는 x</t>
  </si>
  <si>
    <t>단어 퀴즈, 순서에 집중했다.(코딩시트엔 아닌데ㅠ 라고 써있음)</t>
  </si>
  <si>
    <t>, 2 run에서 소리 줄이다가 잠시 꺼짐</t>
  </si>
  <si>
    <t>set 6, test trial 응답 중간에 꺼짐, 2 run 시작 때 소리 줄이다가 잠시 꺼짐. 준비 없이 바로 시작함.</t>
  </si>
  <si>
    <t>떠올리기 할 때 손으로 위치를 표시하려고 함. 단어 퀴즈 처음에는 놓치는 응답이 많았지만 이후로는 잘 함. 단어를 중얼거리면서 외움.</t>
  </si>
  <si>
    <t>1점/(이후 답변들은 영상 확인 필요)</t>
  </si>
  <si>
    <t>아이가 중간에 도망감</t>
  </si>
  <si>
    <t>set 2</t>
  </si>
  <si>
    <t>set 6</t>
  </si>
  <si>
    <t>/ 똑같았다.</t>
  </si>
  <si>
    <t>그냥 기억함</t>
  </si>
  <si>
    <t>5번 몬스터</t>
  </si>
  <si>
    <t>둘 다 기억했다.</t>
  </si>
  <si>
    <t>set 8</t>
  </si>
  <si>
    <t>/ 빰빠앙 같은 소리, 다 똑같았다./벽이 방해됨, 헷갈리게</t>
  </si>
  <si>
    <t>몬스터: 모양 바탕으로 이름 붙임(부끄럽다고 이름은 안 알려줌)/위치: 따라 그리면서</t>
  </si>
  <si>
    <t>5번 몬스터/모서리 위치</t>
  </si>
  <si>
    <t>그림처럼 외웠다.(몬스터를? 단어를? 쓰여있지 않음)</t>
  </si>
  <si>
    <t>set 3</t>
  </si>
  <si>
    <t>재밌었어요/소리 달라짐, 올라가는 소리와 내려가는 소리/배경 동일하지 않음, 벽 이야기는 하지 않음, 물어보니까 기억난다</t>
  </si>
  <si>
    <t>둘 다 아예 기억하지 x</t>
  </si>
  <si>
    <t>있는 듯 없는 듯 함. 1, 5, 3. or 1, 3, 4/5번에 계속 o 함</t>
  </si>
  <si>
    <t>두 개 다 집중</t>
  </si>
  <si>
    <t>몬스터:x/위치: 손을 선을 그리며</t>
  </si>
  <si>
    <t>그냥 둘 다 기억</t>
  </si>
  <si>
    <t>practice 단어 퀴즈부터</t>
  </si>
  <si>
    <t>set 9</t>
  </si>
  <si>
    <t>재밌었어요/초록1(같음), 카키2(다름)/초록과 카키 방 모두 가운데에 벽이 있었고, 도움이 된다.</t>
  </si>
  <si>
    <t>몬스터와 위치 함께 조합해서 외움</t>
  </si>
  <si>
    <t>3번 몬스터/오른쪽 끝 구멍</t>
  </si>
  <si>
    <t>단어 퀴즈에만 집중했다.</t>
  </si>
  <si>
    <t>본 task부터</t>
  </si>
  <si>
    <t>동물이 기억 안 난다고 버튼 안 누름</t>
  </si>
  <si>
    <t>set 5</t>
  </si>
  <si>
    <t>되게 조용함, 말 한마디 안 함</t>
  </si>
  <si>
    <t>재밌었어요/소리가 다르다고 함. 그런데 뭐가 다른지는 모름, 다 같은 음악이라고 함./벽 도움됨.</t>
  </si>
  <si>
    <t>전략 없음</t>
  </si>
  <si>
    <t>있는데 모르겠다</t>
  </si>
  <si>
    <t>몬스터에 집중</t>
  </si>
  <si>
    <t>practice부터, 소리 작지만 들림</t>
  </si>
  <si>
    <t>set 4/옆 방 쌍둥이, 안 한다는 소리가 계속 들림</t>
  </si>
  <si>
    <t>버튼 연습 끝나고 꺼버려서 다시 짧게 연습함./inter 시작 때 ox 버튼 헷갈려 함(왼쪽 누르는데 o 누르라고 하면 다시 잘 누름)/단어는 곧잘하는데 EM은 어려워서 막 누르는 듯/run 1 끝나고 기억 안 나도 최대한 그럴듯한 걸로 하라고 말함, 버튼 막 누르지 말라고 설명함./run 3 떠올리기-선택 사이에 신발 신경씀, run 끝나고 벗김/run 4 살짝 피곤한 듯, 그래도 화면 inter</t>
  </si>
  <si>
    <t>재밌었어요. 단어 ox 퀴즈, 동물게임도(어려움)/방 안에서 계속 같은 소리, 두 방 다름/x</t>
  </si>
  <si>
    <t>몬스터:기억 못했다./위치:그냥 보면서 생각</t>
  </si>
  <si>
    <t>1번 몬스터: 빨간색(한 가지 색이라), 5번 몬스터: 여러가지 색</t>
  </si>
  <si>
    <t>단어 퀴즈만 집중</t>
  </si>
  <si>
    <t>set 12</t>
  </si>
  <si>
    <t>run 3 trial 1 귀찮은지 선택 막 누름(몬스터, 위치 중복 선택)</t>
  </si>
  <si>
    <t>/ 몬스터 위치에 따라 다른 소리가 난다.(뜬뜬-뜬- 뜬뜬-)/벽 도움, 나눠서 기억</t>
  </si>
  <si>
    <t>몬스터:색깔로 기억/위치: 번호 붙여서 기억</t>
  </si>
  <si>
    <t>3번 몬스터/대각선으로 이동할 때</t>
  </si>
  <si>
    <t>(아마 몬스터)그림으로 떠올리면서</t>
  </si>
  <si>
    <t>얌전하게 잘 함</t>
  </si>
  <si>
    <t>재밌었어요/살짝 다른 소리, 한 방에서도 다른 소리(context 2에서)/같음, 도움됨</t>
  </si>
  <si>
    <t>둘 다</t>
  </si>
  <si>
    <t>practice부터, 헤드셋 불편해서 몬스터 볼 때 거의 벗음</t>
  </si>
  <si>
    <t>set 10</t>
  </si>
  <si>
    <t>헤드셋 불편해서 몬스터 볼 때 거의 벗음</t>
  </si>
  <si>
    <t>두뇌가 높아진 기분/2번 이집트 피라미드 소리, 다 다른 소리가 남/방해, 기억 힘듦, 없이 해야 잘 됨</t>
  </si>
  <si>
    <t>몬스터:좋아하는 것들 많이 나오더라/위치: 기억을 꼼꼼히 2분, 머릿속에서 재현</t>
  </si>
  <si>
    <t>1번 쉬, 3번 커서 쉬움/위치는 &lt; 모양이나 체크모양일 때 기억되기 쉬움</t>
  </si>
  <si>
    <t>영상으로 되돌렸다.</t>
  </si>
  <si>
    <t>set 1</t>
  </si>
  <si>
    <t>/달랐지만 도움이 되진 않았다.</t>
  </si>
  <si>
    <t>몬스터:생김새/위치:선 그려서</t>
  </si>
  <si>
    <t>3번 몬스터 뚱뚱해서</t>
  </si>
  <si>
    <t>둘 다 기억하려 했다.</t>
  </si>
  <si>
    <t>나이는 좀 있는데 굉장히 어려워함</t>
  </si>
  <si>
    <t>재밌었어요/소리 달라요, 두 방에서 같은 소리/배경 다름, 벽 방해됨</t>
  </si>
  <si>
    <t>몬스터:잘 생각하려고 노력, 잘 안됨./위치: 모르겠어요</t>
  </si>
  <si>
    <t>단어 퀴즈에 집중</t>
  </si>
  <si>
    <t>/ 소리: 달랐음/배경: 바뀜, 벽: 기억에 영향x</t>
  </si>
  <si>
    <t>몬스터: 이름 지어서(5번: 머그컵, 4번: 포실 등)/위치: 눈으로 기억</t>
  </si>
  <si>
    <t>1, 3번 몬스터</t>
  </si>
  <si>
    <t>단어에만 집중함</t>
  </si>
  <si>
    <t>set 2, 아이 버튼 조작으로 중간에 matlab 꺼져서 403-1로 재시작</t>
  </si>
  <si>
    <t>되돌리고 싶으면 어떻게 하냐고 했는데 맞힘.</t>
  </si>
  <si>
    <t>재밌어요/다른 소리/있는게 도움, 생각하기 편함</t>
  </si>
  <si>
    <t>몬스터: 선호도 순서/위치: 뭐에 가까운지 ex. 산에, 강에 가까움</t>
  </si>
  <si>
    <t>동그란 몬스터(혼자만 동그래서)/위치: 산이랑 가까운 구멍</t>
  </si>
  <si>
    <t>몬스터는 마음속으로만, 단어는 계속 생각</t>
  </si>
  <si>
    <t>재밌었어요/노래 o, 두 방 소리가 달랐고, 방 중간에는 x/벽이 있을 때 도움이 됨</t>
  </si>
  <si>
    <t>몬스터: 다리 색과 모양으로 외움, 눈을 크게 뜨고 본다/위치: 모양으로 ex. 나이키 로고 모양</t>
  </si>
  <si>
    <t>2번 몬스터, 위치는 x</t>
  </si>
  <si>
    <t>몬스터도 기억, 머릿속으로 계속 재현함</t>
  </si>
  <si>
    <t>3 run부터 집중력 떨어짐, 마지막 run 거의 막 누름.</t>
  </si>
  <si>
    <t>/ 소리: 한 가지 소리만 남/배경: 배경 상관x, 벽: 없는 게 나음</t>
  </si>
  <si>
    <t>방법 x</t>
  </si>
  <si>
    <t>2번째 몬스터, 가운데 구멍</t>
  </si>
  <si>
    <t>단어에 집중함</t>
  </si>
  <si>
    <t>practice 몬스터 나오는 중간부터</t>
  </si>
  <si>
    <t>(기입x)</t>
  </si>
  <si>
    <t>재밌었어요/재밌는 소리, 바뀌는거 앎/벽은 없는 게 좋았다.</t>
  </si>
  <si>
    <t>몬스터: 그냥 모양을 보고/위치: 손으로 한 번 그림, 화면을 보면서</t>
  </si>
  <si>
    <t>(5번)아이스크림 모양이라서/진한색 배경이 더 자주 나왔다</t>
  </si>
  <si>
    <t>몬스터도 같이 생각했다. 같이 나오니까, 상상만 했다.</t>
  </si>
  <si>
    <t>(연습 영상 없음)본 task부터</t>
  </si>
  <si>
    <t>set 2, zoom 녹화 본 게임 2 run 도중에 시작함</t>
  </si>
  <si>
    <t>3 run 2 trial부터 몬스터 게임 막 누르는 것 같음</t>
  </si>
  <si>
    <t>/ 소리: 기억에 영향x,/배경: 기억에 영향x, 벽 : 있는 게 기억에 도움</t>
  </si>
  <si>
    <t>둘 다 그냥 기억함</t>
  </si>
  <si>
    <t>3번 몬스터, 왼쪽에서 2번째 구멍</t>
  </si>
  <si>
    <t>몬스터도 같이 기억함</t>
  </si>
  <si>
    <t>생각을 꽤 신중히 함./run 1 trial 1 단어 퀴즈 전체적으로 수행x 방법을 이해한 거 같긴 한데 실제로는 잘 누르지 못함./run 1 trial 2 단어 2개정도 키가 안 눌려서 놓침, 나머진 답변 안 함./run 2 trial 1부터 단어게임 o, 앞에두 개 x라고 알고있는데 버튼을 안 누름,run 2 trial 2 단어게임 나올 때 중간에 안 봄./ run 4 trial 1 단어 '공책' 잘못 누름, 바로 '아이'이렇게 리액션 함./살짝 집중력 떨어짐. 특히 상상하기에서 버튼 가지고 노느라 집중 덜 함.</t>
  </si>
  <si>
    <t>재밌었다. 어렵진 않았음./노래(빰-), 방마다 다른 소리, 방 안에선 x. 외우는데 도움됨/벽x</t>
  </si>
  <si>
    <t>몬스터: 머릿속으로 , 색깔+뿔로 구별/위치: 뿔로</t>
  </si>
  <si>
    <t>1번 좋아하는 색이라서/위치: 가운데에서 나올 때</t>
  </si>
  <si>
    <t>몬스터도 기억, 방법은 잘 모르겠음</t>
  </si>
  <si>
    <t>똘똘함, 게임도 잘 하고, 버튼 만지지 말라고 하면 손 내리고 가만히 잘 있음/run 2 trial 1 단어퀴즈 초반에 두 번씩 눌렸을 수도 있음</t>
  </si>
  <si>
    <t>재밌었어요, 외우는 게 살짝 어려웠음/음악 소리, 방마다 다른 소리가 나고, 방 안에선 바뀌지 않음, 도움되는 지는 모르겠다/벽 있었고, 역시 도움이나 방해에 별 생각 없었음</t>
  </si>
  <si>
    <t>몬스터:보면서 잘 기억/위치: 모양으로, (세모 등)</t>
  </si>
  <si>
    <t>1번 몬스터, 털이 기억에 남음/위치는 없고,/ 마지막 순서가 잘 외워짐</t>
  </si>
  <si>
    <t>단어 게임에 집중</t>
  </si>
  <si>
    <t>단어맞추기 설명 어려워했지만 이해하고 시작,/단어퀴즈 준비되면 o버튼 누르는 걸 틀려서 두 번정도 다시 말해줌, 그 외엔 조작에 미숙함 없음./run 3 trial 2 단어퀴즈에서 눈 비비느라 살짝 집중 흐려졌을 수도 있음</t>
  </si>
  <si>
    <t>재밌었다. /소리x/가운데 벽 도움됨, 벽을 기준으로 위치</t>
  </si>
  <si>
    <t>몬스터:동글, 복실, 길쭉 등 모양 보고/위치: 벽을 기준으로</t>
  </si>
  <si>
    <t>3번 몬스터, 동그래서/순서: 3개가 붙어서 나올 때(세모 모양처럼)</t>
  </si>
  <si>
    <t>몬스터는 화면 보면 생각이 나니까 퀴즈에만 집중함</t>
  </si>
  <si>
    <t>단어 외울 때 말로 되뇌임, 스티커를 아주 좋아해서 진행 수월함/run 2 trial 1 단어퀴즈 앞에 좀 놓침(공놀이)/run 3 trial2 단어 마지막 답 놓침, run 4 trial 1 (아마 '공책') 잘못 누름/성격이 살짝 급해서 천천히 넘어가면 빨간 버튼이나 앞에서 눌렀던 버튼 두 번씩 누르기도 함./기억 못하면 자책을 좀 하는 편/run 2부터 까먹는 횟수 많아짐, 혼잣말로 몬스터 하나에만 집중해서 '이거라도 맞춰야해'라고 말함./단어 퀴즈에서 준비되면 o버튼 누르기는 이해를 못 한 듯. 거의 할 때마다 말해줌</t>
  </si>
  <si>
    <t>너무 문제가 많았다. 재밌었다. 조금 어렵기도/노래o 방끼리는 다른지 모름, 한 방에서 바뀐 적 있는 것 같기도/바위가 있었음., 도움됨</t>
  </si>
  <si>
    <t>몬스터:집중해서, 몬스터에 이름(3번 거인, 5번 무지개). 이름을 다 지어서 했었는지는 잘 모르겠음./위치:손으로 위치를 따라가는 듯(아이가 직접 말한 거+관찰한 결과)</t>
  </si>
  <si>
    <t>5번, 3번, 2번 (앞에서 특징을 말했던 몬스터들). 다 기억나요/ 바위 기준으로 한 쪽에 있으면 외우기 편함</t>
  </si>
  <si>
    <t>몬스터에 집중(그냥 생각)+ox도 같이</t>
  </si>
  <si>
    <t>살짝 산만함, 말을 많이 하면서 열심히/감정이입을 잘 하는 듯?-&gt;스토리텔링 암기 식으로 하는 것 같음./그래도 수행 자체는 잘 함/간혹 ox 퀴즈할 때 고개는 절레절레 하면서 o를 누르기도 함/말하다가 문제를 놓치기도 함. 특히 run 4 trial 2./run 4 trial 2 몬스터 선택할 때 헤드폰 벗음, 소리는 더 안나와서 그냥 그 상태로 진행함.</t>
  </si>
  <si>
    <t>너무 재밌었다./노래o 방마다 달랐음, 방 안에선 달라지지 않음./(카키 방) 돌 있음, 방해되지 않음</t>
  </si>
  <si>
    <t>(질문을 이해하지 못한 듯 함) 몬스터와 위치 둘 다 스스로 위치를 만들어서 외웠다고 말하는 것 같긴 함.</t>
  </si>
  <si>
    <t>4번 몬스터 마음에 들어서/돌 기준으로 1-2-3 만듦.</t>
  </si>
  <si>
    <t>몬스터들도 기억함, 머릿속으로 생각</t>
  </si>
  <si>
    <t>엄청 수줍음, 어머님 무릎 위에 앉아서 진행. 그래도 이해는 잘 함./단어 퀴즈 고심하고+조심스럽게 누르는 편이라 답변이 좀 느린편, 그래도 잘 함./run 3부터 고민을 좀 더 하는듯? 오답률도./상상하기에서 눈으로 가끔씩 회상하는 듯</t>
  </si>
  <si>
    <t>재밌었어요, 조금 어려움/노래 인식, 방마다 다름, 방 안은x/벽 인식 못함</t>
  </si>
  <si>
    <t>(수줍어서 답변 제대로 안 함)/전략 없음</t>
  </si>
  <si>
    <t>1번, 제일 좋아해서</t>
  </si>
  <si>
    <t>단어만</t>
  </si>
  <si>
    <t>왼손</t>
  </si>
  <si>
    <t>run 1, trial 2에서 몬스터 위치 1번 2번 잘못 선택함./run 1, 2 단어 맞추기에서 계속 o만 누름, (run 3, 4에서 규칙 계속 상기시켜줌)/ run 3 다리 흔들면서 함</t>
  </si>
  <si>
    <t>소리 달라짐 인지, 턴마다 바뀜(몬스터마다?), 기억에 도움됨/배경 달라짐 인지, 기억엔 도움 안 됨./벽 인지, 없었을 떄 기억 더 잘 됨</t>
  </si>
  <si>
    <t>몬스터: 모양으로 기억/위치: 구멍마다 번호 메김</t>
  </si>
  <si>
    <t>몬스터 5번째-&gt;3번째/위치: 한 쪽에 몰려 나왔을 떄</t>
  </si>
  <si>
    <t>몬스터들도 기억하려 함.</t>
  </si>
  <si>
    <t>set 11</t>
  </si>
  <si>
    <t>재밌었어요/다른 소리/벽 도움됨</t>
  </si>
  <si>
    <t>몬스터: 색깔이랑 뿔 개수/위치: 그냥</t>
  </si>
  <si>
    <t>몬스터: 파랑-초록 복슬복슬한 몬스터(아마 4번), 색깔때문에/위치는 x</t>
  </si>
  <si>
    <t>몬스터도 기억, 그냥 생각남</t>
  </si>
  <si>
    <t>이해 잘 함. 확실히 7살은 다른 듯./조용히 차분하게 함</t>
  </si>
  <si>
    <t>재밌었다/노래 인식, 방마다 다름, 방 안에서도 다름. 도움됨/벽 인식, 방해됨</t>
  </si>
  <si>
    <t>몬스터:2번 4번 몬스터 뽀글뽀글/위치: 나오는 순서를 머릿속으로 계속 생각</t>
  </si>
  <si>
    <t>몬스터: 2번 납작해서, 3번 동그래서</t>
  </si>
  <si>
    <t>몬스터도 생각, 머리로 계속</t>
  </si>
  <si>
    <t>재밌어요/소리 다른 거 같아요/벽 기억에 도움</t>
  </si>
  <si>
    <t>몬스터:특징으로(뿔 모양, 색 조합, 몸 모양, 팔길이)/위치: 다른 구명, 풍경으로, 거리</t>
  </si>
  <si>
    <t>몬스터: 다 다름/위치: 벽 있으면 벽 사이에 두고 양쪽 구멍에서 나올 때</t>
  </si>
  <si>
    <t>단어만 생각했는데 응답할 때 몬스터가 생각남.</t>
  </si>
  <si>
    <t>오전 10:30</t>
  </si>
  <si>
    <t>윌리엄</t>
  </si>
  <si>
    <t>조보람</t>
  </si>
  <si>
    <t>010-7140-0374</t>
  </si>
  <si>
    <t>추가 연구 참여 관심, 한국어/영어 이중언어 상태, 영어 먼저 트였고 평소 가정 외 생활은 한국어</t>
  </si>
  <si>
    <t>한국말 어눌, 여러번 설명해주는데 룰+버튼키 숙지 거의 안 됨.</t>
  </si>
  <si>
    <t>사전예약이라 주장</t>
  </si>
  <si>
    <t>권기탁</t>
  </si>
  <si>
    <t>정미경</t>
  </si>
  <si>
    <t>010-8959-1740</t>
  </si>
  <si>
    <t>전날 저녁에 하셨다는데 없어서 현장링크로 받음.</t>
  </si>
  <si>
    <t>주변 다른 것에 관심이 많음 (back은 어떻게 해요? 등등), task 시작하고부터는 조용한 듯.</t>
  </si>
  <si>
    <t>오전 11:30</t>
  </si>
  <si>
    <t>박태규</t>
  </si>
  <si>
    <t>박영돈/박희진</t>
  </si>
  <si>
    <t>010-5109-2888</t>
  </si>
  <si>
    <t>203 &amp; 204 형제</t>
  </si>
  <si>
    <t>오후 2:30</t>
  </si>
  <si>
    <t>이우진</t>
  </si>
  <si>
    <t>이재영</t>
  </si>
  <si>
    <t>010-3054-4525</t>
  </si>
  <si>
    <t>401 &amp; 403 지인</t>
  </si>
  <si>
    <t>김나현</t>
  </si>
  <si>
    <t>박수선</t>
  </si>
  <si>
    <t>010-3552-3688</t>
  </si>
  <si>
    <t>오후 4:30</t>
  </si>
  <si>
    <t>조현아</t>
  </si>
  <si>
    <t>마혜원</t>
  </si>
  <si>
    <t>010-7281-5425</t>
  </si>
  <si>
    <t>N번쨰 참여, 쏘셜 재참여 원하심</t>
  </si>
  <si>
    <t>함지희</t>
  </si>
  <si>
    <t>홍유리</t>
  </si>
  <si>
    <t>010-3121-1204</t>
  </si>
  <si>
    <t>CYR</t>
  </si>
  <si>
    <t>White+S1</t>
  </si>
  <si>
    <t>103 &amp; 104 자매, 동의서 유라</t>
  </si>
  <si>
    <t>오후 12:30</t>
  </si>
  <si>
    <t>김현준</t>
  </si>
  <si>
    <t>김은혜</t>
  </si>
  <si>
    <t>010-6330-1753</t>
  </si>
  <si>
    <t>김다민</t>
  </si>
  <si>
    <t>이경화</t>
  </si>
  <si>
    <t>010-7149-8598</t>
  </si>
  <si>
    <t>김세준</t>
  </si>
  <si>
    <t>이다혜</t>
  </si>
  <si>
    <t>010-2057-0387</t>
  </si>
  <si>
    <t>Pink+YJtab</t>
  </si>
  <si>
    <t>김예은</t>
  </si>
  <si>
    <t>김영주</t>
  </si>
  <si>
    <t>010-2793-9020</t>
  </si>
  <si>
    <t>SJM</t>
  </si>
  <si>
    <t>HS+S4</t>
  </si>
  <si>
    <t>이서우</t>
  </si>
  <si>
    <t>이도하</t>
  </si>
  <si>
    <t>010-4999-6174</t>
  </si>
  <si>
    <t>KJW</t>
  </si>
  <si>
    <t>Yoga+ipad</t>
  </si>
  <si>
    <t>203, 204 자매</t>
  </si>
  <si>
    <t>정채윤</t>
  </si>
  <si>
    <t>정광우</t>
  </si>
  <si>
    <t>010-8300-6034</t>
  </si>
  <si>
    <t>이이현</t>
  </si>
  <si>
    <t>김산옥</t>
  </si>
  <si>
    <t>010-9159-5044</t>
  </si>
  <si>
    <t>오후 3:30</t>
  </si>
  <si>
    <t>박서준</t>
  </si>
  <si>
    <t>이지혜</t>
  </si>
  <si>
    <t>010-4652-3108</t>
  </si>
  <si>
    <t>White+tab</t>
  </si>
  <si>
    <t>502, 503 형제</t>
  </si>
  <si>
    <t>임라율</t>
  </si>
  <si>
    <t>임지윤</t>
  </si>
  <si>
    <t>010-3827-2959</t>
  </si>
  <si>
    <t>601 &amp; 603 자매</t>
  </si>
  <si>
    <t>임루아</t>
  </si>
  <si>
    <t>방재준</t>
  </si>
  <si>
    <t>이해림</t>
  </si>
  <si>
    <t>010-8628-2381</t>
  </si>
  <si>
    <t>d</t>
  </si>
  <si>
    <t>multi_chunk main code line31 error 나서 안 돌아가서 -&gt; 다른 폴더에 있는 main code 돌림 (new condition 이라고 되어있는 폴더)</t>
  </si>
  <si>
    <t>데이터 안옮겼었음</t>
    <phoneticPr fontId="1" type="noConversion"/>
  </si>
  <si>
    <t>유지호</t>
  </si>
  <si>
    <t>손경욱</t>
  </si>
  <si>
    <t>010-8833-0938</t>
  </si>
  <si>
    <t>602 &amp; 604 남매</t>
  </si>
  <si>
    <t>채이현</t>
  </si>
  <si>
    <t>이세미</t>
  </si>
  <si>
    <t>010-7222-8396</t>
  </si>
  <si>
    <t>204 &amp; 205 남매</t>
  </si>
  <si>
    <t>김희건</t>
  </si>
  <si>
    <t>김준동</t>
  </si>
  <si>
    <t>010-2027-8947</t>
  </si>
  <si>
    <t>이나윤</t>
  </si>
  <si>
    <t>010-2670-3779</t>
  </si>
  <si>
    <t>HS+tab</t>
  </si>
  <si>
    <t>없엄</t>
  </si>
  <si>
    <t>찾음</t>
  </si>
  <si>
    <t>101 &amp; 102 남매</t>
  </si>
  <si>
    <t>박현아/이창선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</si>
</sst>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14" fontId="2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2" fillId="2" borderId="0" xfId="0" applyFont="1" applyFill="1">
      <alignment vertical="center"/>
    </xf>
    <xf numFmtId="14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49" fontId="2" fillId="2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123C-CD7D-4923-AB81-BEDCBE58C125}">
  <dimension ref="A1:AH58"/>
  <sheetViews>
    <sheetView tabSelected="1" topLeftCell="A22" zoomScale="70" zoomScaleNormal="70" workbookViewId="0">
      <selection activeCell="C60" sqref="C60"/>
    </sheetView>
  </sheetViews>
  <sheetFormatPr defaultRowHeight="16.5" x14ac:dyDescent="0.3"/>
  <cols>
    <col min="1" max="1" width="19.5" bestFit="1" customWidth="1"/>
    <col min="2" max="2" width="19.5" customWidth="1"/>
    <col min="3" max="3" width="12.5" customWidth="1"/>
    <col min="4" max="4" width="9.5" customWidth="1"/>
    <col min="5" max="5" width="10.375" customWidth="1"/>
    <col min="6" max="6" width="10.125" customWidth="1"/>
    <col min="7" max="7" width="11.25" customWidth="1"/>
    <col min="8" max="8" width="14.875" customWidth="1"/>
    <col min="9" max="9" width="16.25" customWidth="1"/>
    <col min="10" max="10" width="4.125" customWidth="1"/>
    <col min="11" max="11" width="12.5" customWidth="1"/>
    <col min="12" max="12" width="12.25" customWidth="1"/>
    <col min="13" max="13" width="6.875" customWidth="1"/>
    <col min="14" max="14" width="10" customWidth="1"/>
    <col min="15" max="15" width="18.125" customWidth="1"/>
    <col min="16" max="16" width="15.625" customWidth="1"/>
    <col min="17" max="17" width="34.625" customWidth="1"/>
    <col min="18" max="18" width="5.75" customWidth="1"/>
    <col min="20" max="20" width="12" style="6" bestFit="1" customWidth="1"/>
    <col min="21" max="21" width="9" style="6"/>
    <col min="24" max="24" width="16.875" customWidth="1"/>
  </cols>
  <sheetData>
    <row r="1" spans="1:34" x14ac:dyDescent="0.3">
      <c r="A1" t="s">
        <v>25</v>
      </c>
      <c r="B1" t="s">
        <v>26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29</v>
      </c>
      <c r="S1" t="s">
        <v>30</v>
      </c>
      <c r="T1" s="6" t="s">
        <v>185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</row>
    <row r="2" spans="1:34" s="1" customFormat="1" x14ac:dyDescent="0.3">
      <c r="A2" s="3" t="s">
        <v>45</v>
      </c>
      <c r="B2" s="1">
        <v>240720504</v>
      </c>
      <c r="C2" s="4">
        <v>45493</v>
      </c>
      <c r="D2" s="3" t="s">
        <v>7</v>
      </c>
      <c r="E2" s="3">
        <v>504</v>
      </c>
      <c r="F2" s="3" t="s">
        <v>5</v>
      </c>
      <c r="G2" s="3" t="s">
        <v>46</v>
      </c>
      <c r="H2" s="3" t="s">
        <v>47</v>
      </c>
      <c r="I2" s="3" t="s">
        <v>48</v>
      </c>
      <c r="J2" s="4" t="s">
        <v>0</v>
      </c>
      <c r="K2" s="4">
        <v>43202</v>
      </c>
      <c r="L2" s="3">
        <v>75</v>
      </c>
      <c r="M2" s="3">
        <v>6</v>
      </c>
      <c r="N2" s="3">
        <v>6.27</v>
      </c>
      <c r="O2" s="3" t="s">
        <v>9</v>
      </c>
      <c r="P2" s="3" t="s">
        <v>1</v>
      </c>
      <c r="Q2" s="1" t="s">
        <v>2</v>
      </c>
      <c r="S2" s="5"/>
      <c r="T2" s="5" t="s">
        <v>176</v>
      </c>
      <c r="U2" s="5"/>
      <c r="Y2" s="1" t="s">
        <v>186</v>
      </c>
      <c r="Z2" s="1" t="s">
        <v>187</v>
      </c>
      <c r="AC2" s="1" t="s">
        <v>188</v>
      </c>
      <c r="AD2" s="1" t="s">
        <v>189</v>
      </c>
      <c r="AE2" s="1" t="s">
        <v>190</v>
      </c>
      <c r="AF2" s="1" t="s">
        <v>191</v>
      </c>
      <c r="AG2" s="1" t="s">
        <v>192</v>
      </c>
      <c r="AH2" s="1" t="s">
        <v>193</v>
      </c>
    </row>
    <row r="3" spans="1:34" s="1" customFormat="1" x14ac:dyDescent="0.3">
      <c r="A3" s="1" t="s">
        <v>45</v>
      </c>
      <c r="B3" s="1">
        <v>240720603</v>
      </c>
      <c r="C3" s="4">
        <v>45493</v>
      </c>
      <c r="D3" s="3" t="s">
        <v>8</v>
      </c>
      <c r="E3" s="3">
        <v>603</v>
      </c>
      <c r="F3" s="3" t="s">
        <v>4</v>
      </c>
      <c r="G3" s="3" t="s">
        <v>49</v>
      </c>
      <c r="H3" s="3" t="s">
        <v>50</v>
      </c>
      <c r="I3" s="3" t="s">
        <v>51</v>
      </c>
      <c r="J3" s="4" t="s">
        <v>3</v>
      </c>
      <c r="K3" s="4">
        <v>43285</v>
      </c>
      <c r="L3" s="3">
        <v>72</v>
      </c>
      <c r="M3" s="3">
        <v>6</v>
      </c>
      <c r="N3" s="3">
        <v>6.04</v>
      </c>
      <c r="O3" s="3" t="s">
        <v>27</v>
      </c>
      <c r="P3" s="3" t="s">
        <v>28</v>
      </c>
      <c r="Q3" s="1" t="s">
        <v>6</v>
      </c>
      <c r="S3" s="5"/>
      <c r="T3" s="5" t="s">
        <v>177</v>
      </c>
      <c r="U3" s="5"/>
      <c r="Z3" s="1" t="s">
        <v>187</v>
      </c>
      <c r="AC3" s="1" t="s">
        <v>194</v>
      </c>
      <c r="AD3" s="1" t="s">
        <v>195</v>
      </c>
      <c r="AE3" s="1" t="s">
        <v>196</v>
      </c>
      <c r="AF3" s="1" t="s">
        <v>197</v>
      </c>
      <c r="AG3" s="1" t="s">
        <v>198</v>
      </c>
      <c r="AH3" s="1" t="s">
        <v>199</v>
      </c>
    </row>
    <row r="4" spans="1:34" s="1" customFormat="1" x14ac:dyDescent="0.3">
      <c r="A4" s="1" t="s">
        <v>45</v>
      </c>
      <c r="B4" s="1">
        <v>240720604</v>
      </c>
      <c r="C4" s="4">
        <v>45493</v>
      </c>
      <c r="D4" s="3" t="s">
        <v>8</v>
      </c>
      <c r="E4" s="3">
        <v>604</v>
      </c>
      <c r="F4" s="3" t="s">
        <v>4</v>
      </c>
      <c r="G4" s="3" t="s">
        <v>52</v>
      </c>
      <c r="H4" s="3" t="s">
        <v>53</v>
      </c>
      <c r="I4" s="3" t="s">
        <v>54</v>
      </c>
      <c r="J4" s="4" t="s">
        <v>0</v>
      </c>
      <c r="K4" s="4">
        <v>42392</v>
      </c>
      <c r="L4" s="3">
        <v>101</v>
      </c>
      <c r="M4" s="3">
        <v>8</v>
      </c>
      <c r="N4" s="3">
        <v>8.49</v>
      </c>
      <c r="O4" s="3" t="s">
        <v>9</v>
      </c>
      <c r="P4" s="3" t="s">
        <v>1</v>
      </c>
      <c r="Q4" s="1" t="s">
        <v>2</v>
      </c>
      <c r="S4" s="5"/>
      <c r="T4" s="5" t="s">
        <v>178</v>
      </c>
      <c r="U4" s="5"/>
      <c r="Y4" s="1" t="s">
        <v>186</v>
      </c>
      <c r="Z4" s="1" t="s">
        <v>187</v>
      </c>
      <c r="AC4" s="1" t="s">
        <v>200</v>
      </c>
      <c r="AD4" s="1" t="s">
        <v>201</v>
      </c>
      <c r="AE4" s="1" t="s">
        <v>202</v>
      </c>
      <c r="AF4" s="1" t="s">
        <v>203</v>
      </c>
      <c r="AG4" s="1" t="s">
        <v>204</v>
      </c>
      <c r="AH4" s="1" t="s">
        <v>205</v>
      </c>
    </row>
    <row r="5" spans="1:34" s="1" customFormat="1" x14ac:dyDescent="0.3">
      <c r="A5" s="1" t="s">
        <v>45</v>
      </c>
      <c r="B5" s="1">
        <v>240720605</v>
      </c>
      <c r="C5" s="4">
        <v>45493</v>
      </c>
      <c r="D5" s="3" t="s">
        <v>8</v>
      </c>
      <c r="E5" s="3">
        <v>605</v>
      </c>
      <c r="F5" s="3" t="s">
        <v>5</v>
      </c>
      <c r="G5" s="3" t="s">
        <v>55</v>
      </c>
      <c r="H5" s="3" t="s">
        <v>56</v>
      </c>
      <c r="I5" s="3" t="s">
        <v>57</v>
      </c>
      <c r="J5" s="4" t="s">
        <v>3</v>
      </c>
      <c r="K5" s="4">
        <v>43405</v>
      </c>
      <c r="L5" s="3">
        <v>68</v>
      </c>
      <c r="M5" s="3">
        <v>5</v>
      </c>
      <c r="N5" s="3">
        <v>5.72</v>
      </c>
      <c r="O5" s="3" t="s">
        <v>58</v>
      </c>
      <c r="P5" s="3" t="s">
        <v>59</v>
      </c>
      <c r="Q5" s="1" t="s">
        <v>6</v>
      </c>
      <c r="S5" s="5"/>
      <c r="T5" s="5" t="s">
        <v>174</v>
      </c>
      <c r="U5" s="5"/>
      <c r="Y5" s="1" t="s">
        <v>206</v>
      </c>
      <c r="Z5" s="1" t="s">
        <v>187</v>
      </c>
      <c r="AC5" s="1" t="s">
        <v>207</v>
      </c>
      <c r="AD5" s="1" t="s">
        <v>208</v>
      </c>
      <c r="AE5" s="1" t="s">
        <v>209</v>
      </c>
    </row>
    <row r="6" spans="1:34" s="1" customFormat="1" x14ac:dyDescent="0.3">
      <c r="A6" s="1" t="s">
        <v>45</v>
      </c>
      <c r="B6" s="1">
        <v>240803403</v>
      </c>
      <c r="C6" s="7">
        <v>45507</v>
      </c>
      <c r="D6" s="4" t="s">
        <v>60</v>
      </c>
      <c r="E6" s="3">
        <v>403</v>
      </c>
      <c r="F6" s="3" t="s">
        <v>4</v>
      </c>
      <c r="G6" s="3" t="s">
        <v>61</v>
      </c>
      <c r="H6" s="3" t="s">
        <v>62</v>
      </c>
      <c r="I6" s="3" t="s">
        <v>63</v>
      </c>
      <c r="J6" s="3" t="s">
        <v>3</v>
      </c>
      <c r="K6" s="4">
        <v>42669</v>
      </c>
      <c r="L6" s="3">
        <v>93</v>
      </c>
      <c r="M6" s="3">
        <v>7</v>
      </c>
      <c r="N6" s="3">
        <v>7.77</v>
      </c>
      <c r="O6" s="3" t="s">
        <v>64</v>
      </c>
      <c r="P6" s="3" t="s">
        <v>65</v>
      </c>
      <c r="Q6" s="3" t="s">
        <v>6</v>
      </c>
      <c r="R6" s="1" t="s">
        <v>66</v>
      </c>
      <c r="S6" s="1">
        <v>1</v>
      </c>
      <c r="T6" s="5" t="s">
        <v>179</v>
      </c>
      <c r="U6" s="5"/>
      <c r="Z6" s="1" t="s">
        <v>187</v>
      </c>
      <c r="AA6" s="1" t="s">
        <v>210</v>
      </c>
      <c r="AC6" s="1" t="s">
        <v>211</v>
      </c>
    </row>
    <row r="7" spans="1:34" x14ac:dyDescent="0.3">
      <c r="A7" s="1" t="s">
        <v>45</v>
      </c>
      <c r="B7" s="1">
        <v>240817303</v>
      </c>
      <c r="C7" s="2">
        <v>45521</v>
      </c>
      <c r="D7" t="s">
        <v>79</v>
      </c>
      <c r="E7">
        <v>303</v>
      </c>
      <c r="F7" t="s">
        <v>4</v>
      </c>
      <c r="G7" t="s">
        <v>80</v>
      </c>
      <c r="H7" t="s">
        <v>81</v>
      </c>
      <c r="I7" t="s">
        <v>82</v>
      </c>
      <c r="J7" t="s">
        <v>3</v>
      </c>
      <c r="K7" s="2">
        <v>43476</v>
      </c>
      <c r="L7">
        <v>67</v>
      </c>
      <c r="M7">
        <v>5</v>
      </c>
      <c r="N7">
        <v>5.6</v>
      </c>
      <c r="O7" t="s">
        <v>64</v>
      </c>
      <c r="P7" t="s">
        <v>28</v>
      </c>
      <c r="T7" s="5" t="s">
        <v>174</v>
      </c>
      <c r="Y7" t="s">
        <v>186</v>
      </c>
      <c r="Z7" t="s">
        <v>187</v>
      </c>
      <c r="AC7" t="s">
        <v>212</v>
      </c>
      <c r="AE7" t="s">
        <v>213</v>
      </c>
      <c r="AF7" t="s">
        <v>214</v>
      </c>
      <c r="AG7" t="s">
        <v>215</v>
      </c>
      <c r="AH7" t="s">
        <v>216</v>
      </c>
    </row>
    <row r="8" spans="1:34" s="1" customFormat="1" x14ac:dyDescent="0.3">
      <c r="A8" s="1" t="s">
        <v>45</v>
      </c>
      <c r="B8" s="1">
        <v>240817401</v>
      </c>
      <c r="C8" s="4">
        <v>45521</v>
      </c>
      <c r="D8" s="3" t="s">
        <v>60</v>
      </c>
      <c r="E8" s="3">
        <v>401</v>
      </c>
      <c r="F8" s="3" t="s">
        <v>4</v>
      </c>
      <c r="G8" s="3" t="s">
        <v>67</v>
      </c>
      <c r="H8" s="3" t="s">
        <v>68</v>
      </c>
      <c r="I8" s="3" t="s">
        <v>69</v>
      </c>
      <c r="J8" s="4" t="s">
        <v>0</v>
      </c>
      <c r="K8" s="4">
        <v>42952</v>
      </c>
      <c r="L8" s="3">
        <v>84</v>
      </c>
      <c r="M8" s="3">
        <v>7</v>
      </c>
      <c r="N8" s="3">
        <v>7.03</v>
      </c>
      <c r="O8" s="3" t="s">
        <v>70</v>
      </c>
      <c r="P8" s="3" t="s">
        <v>71</v>
      </c>
      <c r="T8" s="5" t="s">
        <v>174</v>
      </c>
      <c r="U8" s="5"/>
      <c r="Y8" s="1" t="s">
        <v>186</v>
      </c>
      <c r="Z8" s="1" t="s">
        <v>187</v>
      </c>
      <c r="AC8" s="1" t="s">
        <v>217</v>
      </c>
      <c r="AE8" s="1" t="s">
        <v>218</v>
      </c>
      <c r="AF8" s="1" t="s">
        <v>219</v>
      </c>
      <c r="AG8" s="1" t="s">
        <v>220</v>
      </c>
      <c r="AH8" s="1" t="s">
        <v>221</v>
      </c>
    </row>
    <row r="9" spans="1:34" s="1" customFormat="1" x14ac:dyDescent="0.3">
      <c r="A9" s="1" t="s">
        <v>45</v>
      </c>
      <c r="B9" s="1">
        <v>240817404</v>
      </c>
      <c r="C9" s="4">
        <v>45521</v>
      </c>
      <c r="D9" s="3" t="s">
        <v>60</v>
      </c>
      <c r="E9" s="3">
        <v>404</v>
      </c>
      <c r="F9" s="3" t="s">
        <v>4</v>
      </c>
      <c r="G9" s="3" t="s">
        <v>72</v>
      </c>
      <c r="H9" s="3" t="s">
        <v>73</v>
      </c>
      <c r="I9" s="3" t="s">
        <v>74</v>
      </c>
      <c r="J9" s="4" t="s">
        <v>3</v>
      </c>
      <c r="K9" s="4">
        <v>43000</v>
      </c>
      <c r="L9" s="3">
        <v>82</v>
      </c>
      <c r="M9" s="3">
        <v>6</v>
      </c>
      <c r="N9" s="3">
        <v>6.9</v>
      </c>
      <c r="O9" s="3" t="s">
        <v>9</v>
      </c>
      <c r="P9" s="3" t="s">
        <v>75</v>
      </c>
      <c r="T9" s="5" t="s">
        <v>174</v>
      </c>
      <c r="U9" s="5"/>
      <c r="Y9" s="1" t="s">
        <v>186</v>
      </c>
      <c r="Z9" s="1" t="s">
        <v>187</v>
      </c>
      <c r="AC9" s="1" t="s">
        <v>222</v>
      </c>
      <c r="AE9" s="1" t="s">
        <v>223</v>
      </c>
      <c r="AF9" s="1" t="s">
        <v>224</v>
      </c>
      <c r="AG9" s="1" t="s">
        <v>225</v>
      </c>
      <c r="AH9" s="1" t="s">
        <v>226</v>
      </c>
    </row>
    <row r="10" spans="1:34" s="9" customFormat="1" x14ac:dyDescent="0.3">
      <c r="A10" s="9" t="s">
        <v>45</v>
      </c>
      <c r="B10" s="9">
        <v>240817503</v>
      </c>
      <c r="C10" s="10">
        <v>45521</v>
      </c>
      <c r="D10" s="11" t="s">
        <v>7</v>
      </c>
      <c r="E10" s="11">
        <v>503</v>
      </c>
      <c r="F10" s="11" t="s">
        <v>4</v>
      </c>
      <c r="G10" s="11" t="s">
        <v>76</v>
      </c>
      <c r="H10" s="11" t="s">
        <v>77</v>
      </c>
      <c r="I10" s="11" t="s">
        <v>78</v>
      </c>
      <c r="J10" s="10" t="s">
        <v>3</v>
      </c>
      <c r="K10" s="10">
        <v>43340</v>
      </c>
      <c r="L10" s="11">
        <v>71</v>
      </c>
      <c r="M10" s="11">
        <v>5</v>
      </c>
      <c r="N10" s="11">
        <v>5.97</v>
      </c>
      <c r="O10" s="11" t="s">
        <v>64</v>
      </c>
      <c r="P10" s="11" t="s">
        <v>28</v>
      </c>
      <c r="T10" s="12" t="s">
        <v>174</v>
      </c>
      <c r="U10" s="12"/>
    </row>
    <row r="11" spans="1:34" s="1" customFormat="1" x14ac:dyDescent="0.3">
      <c r="A11" s="1" t="s">
        <v>45</v>
      </c>
      <c r="B11" s="1">
        <f>240824000+E11</f>
        <v>240824303</v>
      </c>
      <c r="C11" s="4">
        <v>45528</v>
      </c>
      <c r="D11" s="3" t="s">
        <v>79</v>
      </c>
      <c r="E11" s="3">
        <v>303</v>
      </c>
      <c r="F11" s="3" t="s">
        <v>4</v>
      </c>
      <c r="G11" s="3" t="s">
        <v>83</v>
      </c>
      <c r="H11" s="3" t="s">
        <v>84</v>
      </c>
      <c r="I11" s="3" t="s">
        <v>85</v>
      </c>
      <c r="J11" s="4" t="s">
        <v>0</v>
      </c>
      <c r="K11" s="4">
        <v>42467</v>
      </c>
      <c r="L11" s="3">
        <v>100</v>
      </c>
      <c r="M11" s="3">
        <v>8</v>
      </c>
      <c r="N11" s="3">
        <v>8.3800000000000008</v>
      </c>
      <c r="O11" s="3" t="s">
        <v>64</v>
      </c>
      <c r="P11" s="3" t="s">
        <v>86</v>
      </c>
      <c r="T11" s="5" t="s">
        <v>174</v>
      </c>
      <c r="U11" s="5"/>
      <c r="Y11" s="1" t="s">
        <v>186</v>
      </c>
      <c r="Z11" s="1" t="s">
        <v>187</v>
      </c>
      <c r="AC11" s="1" t="s">
        <v>188</v>
      </c>
      <c r="AE11" s="1" t="s">
        <v>196</v>
      </c>
      <c r="AF11" s="1" t="s">
        <v>227</v>
      </c>
      <c r="AG11" s="1" t="s">
        <v>196</v>
      </c>
      <c r="AH11" s="1" t="s">
        <v>228</v>
      </c>
    </row>
    <row r="12" spans="1:34" s="1" customFormat="1" x14ac:dyDescent="0.3">
      <c r="A12" s="1" t="s">
        <v>45</v>
      </c>
      <c r="B12" s="1">
        <f>240824000+E12</f>
        <v>240824504</v>
      </c>
      <c r="C12" s="4">
        <v>45528</v>
      </c>
      <c r="D12" s="3" t="s">
        <v>7</v>
      </c>
      <c r="E12" s="3">
        <v>504</v>
      </c>
      <c r="F12" s="3" t="s">
        <v>4</v>
      </c>
      <c r="G12" s="3" t="s">
        <v>87</v>
      </c>
      <c r="H12" s="3" t="s">
        <v>88</v>
      </c>
      <c r="I12" s="3" t="s">
        <v>89</v>
      </c>
      <c r="J12" s="4" t="s">
        <v>0</v>
      </c>
      <c r="K12" s="4">
        <v>42948</v>
      </c>
      <c r="L12" s="3">
        <v>84</v>
      </c>
      <c r="M12" s="3">
        <v>7</v>
      </c>
      <c r="N12" s="3">
        <v>7.06</v>
      </c>
      <c r="O12" s="3" t="s">
        <v>9</v>
      </c>
      <c r="P12" s="3" t="s">
        <v>90</v>
      </c>
      <c r="T12" s="5" t="s">
        <v>174</v>
      </c>
      <c r="U12" s="5"/>
      <c r="Y12" s="1" t="s">
        <v>229</v>
      </c>
      <c r="Z12" s="1" t="s">
        <v>187</v>
      </c>
      <c r="AC12" s="1" t="s">
        <v>230</v>
      </c>
      <c r="AE12" s="1" t="s">
        <v>231</v>
      </c>
      <c r="AF12" s="1" t="s">
        <v>232</v>
      </c>
      <c r="AG12" s="1" t="s">
        <v>233</v>
      </c>
      <c r="AH12" s="1" t="s">
        <v>234</v>
      </c>
    </row>
    <row r="13" spans="1:34" s="1" customFormat="1" x14ac:dyDescent="0.3">
      <c r="A13" s="1" t="s">
        <v>45</v>
      </c>
      <c r="B13" s="1">
        <f>240831000+E13</f>
        <v>240831303</v>
      </c>
      <c r="C13" s="4">
        <v>45535</v>
      </c>
      <c r="D13" s="3" t="s">
        <v>79</v>
      </c>
      <c r="E13" s="3">
        <v>303</v>
      </c>
      <c r="F13" s="3" t="s">
        <v>4</v>
      </c>
      <c r="G13" s="3" t="s">
        <v>91</v>
      </c>
      <c r="H13" s="3" t="s">
        <v>92</v>
      </c>
      <c r="I13" s="3" t="s">
        <v>93</v>
      </c>
      <c r="J13" s="4" t="s">
        <v>0</v>
      </c>
      <c r="K13" s="4">
        <v>42845</v>
      </c>
      <c r="L13" s="3">
        <v>88</v>
      </c>
      <c r="M13" s="3">
        <v>7</v>
      </c>
      <c r="N13" s="3">
        <v>7.36</v>
      </c>
      <c r="O13" s="3" t="s">
        <v>64</v>
      </c>
      <c r="P13" s="3" t="s">
        <v>28</v>
      </c>
      <c r="Q13" s="1" t="s">
        <v>2</v>
      </c>
      <c r="T13" s="5" t="s">
        <v>174</v>
      </c>
      <c r="U13" s="5"/>
      <c r="Y13" s="1" t="s">
        <v>235</v>
      </c>
      <c r="Z13" s="1" t="s">
        <v>187</v>
      </c>
      <c r="AC13" s="1" t="s">
        <v>222</v>
      </c>
      <c r="AD13" s="1" t="s">
        <v>236</v>
      </c>
      <c r="AE13" s="1" t="s">
        <v>196</v>
      </c>
      <c r="AF13" s="1" t="s">
        <v>196</v>
      </c>
      <c r="AG13" s="1" t="s">
        <v>196</v>
      </c>
      <c r="AH13" s="1" t="s">
        <v>196</v>
      </c>
    </row>
    <row r="14" spans="1:34" s="1" customFormat="1" x14ac:dyDescent="0.3">
      <c r="A14" s="1" t="s">
        <v>45</v>
      </c>
      <c r="B14" s="1">
        <f>240831000+E14</f>
        <v>240831304</v>
      </c>
      <c r="C14" s="4">
        <v>45535</v>
      </c>
      <c r="D14" s="3" t="s">
        <v>79</v>
      </c>
      <c r="E14" s="3">
        <v>304</v>
      </c>
      <c r="F14" s="3" t="s">
        <v>4</v>
      </c>
      <c r="G14" s="3" t="s">
        <v>94</v>
      </c>
      <c r="H14" s="3" t="s">
        <v>92</v>
      </c>
      <c r="I14" s="3" t="s">
        <v>93</v>
      </c>
      <c r="J14" s="4" t="s">
        <v>3</v>
      </c>
      <c r="K14" s="4">
        <v>42845</v>
      </c>
      <c r="L14" s="3">
        <v>88</v>
      </c>
      <c r="M14" s="3">
        <v>7</v>
      </c>
      <c r="N14" s="3">
        <v>7.36</v>
      </c>
      <c r="O14" s="3" t="s">
        <v>9</v>
      </c>
      <c r="P14" s="3" t="s">
        <v>95</v>
      </c>
      <c r="Q14" s="1" t="s">
        <v>6</v>
      </c>
      <c r="T14" s="5" t="s">
        <v>174</v>
      </c>
      <c r="U14" s="5"/>
      <c r="Y14" s="1" t="s">
        <v>186</v>
      </c>
      <c r="Z14" s="1" t="s">
        <v>187</v>
      </c>
      <c r="AC14" s="1" t="s">
        <v>237</v>
      </c>
      <c r="AD14" s="1" t="s">
        <v>238</v>
      </c>
      <c r="AE14" s="1" t="s">
        <v>239</v>
      </c>
      <c r="AF14" s="1" t="s">
        <v>240</v>
      </c>
      <c r="AG14" s="1" t="s">
        <v>241</v>
      </c>
      <c r="AH14" s="1" t="s">
        <v>242</v>
      </c>
    </row>
    <row r="15" spans="1:34" s="1" customFormat="1" x14ac:dyDescent="0.3">
      <c r="A15" s="1" t="s">
        <v>45</v>
      </c>
      <c r="B15" s="1">
        <f t="shared" ref="B15:B19" si="0">240831000+E15</f>
        <v>240831405</v>
      </c>
      <c r="C15" s="4">
        <v>45535</v>
      </c>
      <c r="D15" s="3" t="s">
        <v>60</v>
      </c>
      <c r="E15" s="3">
        <v>405</v>
      </c>
      <c r="F15" s="3" t="s">
        <v>4</v>
      </c>
      <c r="G15" s="3" t="s">
        <v>96</v>
      </c>
      <c r="H15" s="3" t="s">
        <v>97</v>
      </c>
      <c r="I15" s="3" t="s">
        <v>98</v>
      </c>
      <c r="J15" s="4" t="s">
        <v>0</v>
      </c>
      <c r="K15" s="4">
        <v>43699</v>
      </c>
      <c r="L15" s="3">
        <v>60</v>
      </c>
      <c r="M15" s="3">
        <v>5</v>
      </c>
      <c r="N15" s="3">
        <v>5.03</v>
      </c>
      <c r="O15" s="3" t="s">
        <v>99</v>
      </c>
      <c r="P15" s="3" t="s">
        <v>59</v>
      </c>
      <c r="Q15" s="1" t="s">
        <v>2</v>
      </c>
      <c r="T15" s="5" t="s">
        <v>174</v>
      </c>
      <c r="U15" s="5"/>
      <c r="Y15" s="1" t="s">
        <v>243</v>
      </c>
      <c r="Z15" s="1" t="s">
        <v>187</v>
      </c>
      <c r="AC15" s="1" t="s">
        <v>244</v>
      </c>
      <c r="AD15" s="1" t="s">
        <v>245</v>
      </c>
      <c r="AE15" s="1" t="s">
        <v>246</v>
      </c>
      <c r="AF15" s="1" t="s">
        <v>247</v>
      </c>
      <c r="AG15" s="1" t="s">
        <v>248</v>
      </c>
      <c r="AH15" s="1" t="s">
        <v>249</v>
      </c>
    </row>
    <row r="16" spans="1:34" s="1" customFormat="1" x14ac:dyDescent="0.3">
      <c r="A16" s="1" t="s">
        <v>45</v>
      </c>
      <c r="B16" s="1">
        <f t="shared" si="0"/>
        <v>240831501</v>
      </c>
      <c r="C16" s="4">
        <v>45535</v>
      </c>
      <c r="D16" s="3" t="s">
        <v>7</v>
      </c>
      <c r="E16" s="3">
        <v>501</v>
      </c>
      <c r="F16" s="3" t="s">
        <v>4</v>
      </c>
      <c r="G16" s="3" t="s">
        <v>100</v>
      </c>
      <c r="H16" s="3" t="s">
        <v>101</v>
      </c>
      <c r="I16" s="3" t="s">
        <v>102</v>
      </c>
      <c r="J16" s="4" t="s">
        <v>3</v>
      </c>
      <c r="K16" s="4">
        <v>43432</v>
      </c>
      <c r="L16" s="3">
        <v>69</v>
      </c>
      <c r="M16" s="3">
        <v>5</v>
      </c>
      <c r="N16" s="3">
        <v>5.76</v>
      </c>
      <c r="O16" s="3" t="s">
        <v>70</v>
      </c>
      <c r="P16" s="3" t="s">
        <v>71</v>
      </c>
      <c r="Q16" s="1" t="s">
        <v>103</v>
      </c>
      <c r="T16" s="5" t="s">
        <v>180</v>
      </c>
      <c r="U16" s="5"/>
      <c r="Y16" s="1" t="s">
        <v>186</v>
      </c>
      <c r="Z16" s="1" t="s">
        <v>187</v>
      </c>
      <c r="AC16" s="1" t="s">
        <v>250</v>
      </c>
      <c r="AD16" s="1" t="s">
        <v>251</v>
      </c>
      <c r="AE16" s="1" t="s">
        <v>252</v>
      </c>
      <c r="AF16" s="1" t="s">
        <v>253</v>
      </c>
      <c r="AG16" s="1" t="s">
        <v>254</v>
      </c>
      <c r="AH16" s="1" t="s">
        <v>255</v>
      </c>
    </row>
    <row r="17" spans="1:34" s="1" customFormat="1" x14ac:dyDescent="0.3">
      <c r="A17" s="1" t="s">
        <v>45</v>
      </c>
      <c r="B17" s="1">
        <f t="shared" si="0"/>
        <v>240831504</v>
      </c>
      <c r="C17" s="4">
        <v>45535</v>
      </c>
      <c r="D17" s="3" t="s">
        <v>7</v>
      </c>
      <c r="E17" s="3">
        <v>504</v>
      </c>
      <c r="F17" s="3" t="s">
        <v>5</v>
      </c>
      <c r="G17" s="3" t="s">
        <v>104</v>
      </c>
      <c r="H17" s="3" t="s">
        <v>105</v>
      </c>
      <c r="I17" s="3" t="s">
        <v>106</v>
      </c>
      <c r="J17" s="4" t="s">
        <v>3</v>
      </c>
      <c r="K17" s="4">
        <v>43140</v>
      </c>
      <c r="L17" s="3">
        <v>78</v>
      </c>
      <c r="M17" s="3">
        <v>6</v>
      </c>
      <c r="N17" s="3">
        <v>6.56</v>
      </c>
      <c r="O17" s="3" t="s">
        <v>9</v>
      </c>
      <c r="P17" s="3" t="s">
        <v>95</v>
      </c>
      <c r="Q17" s="1" t="s">
        <v>103</v>
      </c>
      <c r="T17" s="5" t="s">
        <v>174</v>
      </c>
      <c r="U17" s="5"/>
      <c r="Y17" s="1" t="s">
        <v>186</v>
      </c>
      <c r="Z17" s="1" t="s">
        <v>187</v>
      </c>
      <c r="AC17" s="1" t="s">
        <v>222</v>
      </c>
      <c r="AD17" s="1" t="s">
        <v>256</v>
      </c>
      <c r="AE17" s="1" t="s">
        <v>257</v>
      </c>
      <c r="AF17" s="1" t="s">
        <v>196</v>
      </c>
      <c r="AG17" s="1" t="s">
        <v>196</v>
      </c>
      <c r="AH17" s="1" t="s">
        <v>258</v>
      </c>
    </row>
    <row r="18" spans="1:34" s="1" customFormat="1" x14ac:dyDescent="0.3">
      <c r="A18" s="1" t="s">
        <v>45</v>
      </c>
      <c r="B18" s="1">
        <f t="shared" si="0"/>
        <v>240831601</v>
      </c>
      <c r="C18" s="4">
        <v>45535</v>
      </c>
      <c r="D18" s="3" t="s">
        <v>8</v>
      </c>
      <c r="E18" s="3">
        <v>601</v>
      </c>
      <c r="F18" s="3" t="s">
        <v>4</v>
      </c>
      <c r="G18" s="3" t="s">
        <v>107</v>
      </c>
      <c r="H18" s="3" t="s">
        <v>108</v>
      </c>
      <c r="I18" s="3" t="s">
        <v>109</v>
      </c>
      <c r="J18" s="4" t="s">
        <v>0</v>
      </c>
      <c r="K18" s="4">
        <v>42989</v>
      </c>
      <c r="L18" s="3">
        <v>83</v>
      </c>
      <c r="M18" s="3">
        <v>6</v>
      </c>
      <c r="N18" s="3">
        <v>6.97</v>
      </c>
      <c r="O18" s="3" t="s">
        <v>70</v>
      </c>
      <c r="P18" s="3" t="s">
        <v>71</v>
      </c>
      <c r="Q18" s="1" t="s">
        <v>6</v>
      </c>
      <c r="T18" s="5" t="s">
        <v>174</v>
      </c>
      <c r="U18" s="5"/>
      <c r="Y18" s="1" t="s">
        <v>259</v>
      </c>
      <c r="Z18" s="1" t="s">
        <v>187</v>
      </c>
      <c r="AC18" s="1" t="s">
        <v>260</v>
      </c>
      <c r="AD18" s="1" t="s">
        <v>261</v>
      </c>
      <c r="AE18" s="1" t="s">
        <v>262</v>
      </c>
      <c r="AF18" s="1" t="s">
        <v>263</v>
      </c>
      <c r="AG18" s="1" t="s">
        <v>264</v>
      </c>
      <c r="AH18" s="1" t="s">
        <v>265</v>
      </c>
    </row>
    <row r="19" spans="1:34" s="1" customFormat="1" x14ac:dyDescent="0.3">
      <c r="A19" s="1" t="s">
        <v>45</v>
      </c>
      <c r="B19" s="1">
        <f t="shared" si="0"/>
        <v>240831603</v>
      </c>
      <c r="C19" s="4">
        <v>45535</v>
      </c>
      <c r="D19" s="3" t="s">
        <v>8</v>
      </c>
      <c r="E19" s="3">
        <v>603</v>
      </c>
      <c r="F19" s="3" t="s">
        <v>4</v>
      </c>
      <c r="G19" s="3" t="s">
        <v>110</v>
      </c>
      <c r="H19" s="3" t="s">
        <v>111</v>
      </c>
      <c r="I19" s="3" t="s">
        <v>112</v>
      </c>
      <c r="J19" s="4" t="s">
        <v>0</v>
      </c>
      <c r="K19" s="4">
        <v>42805</v>
      </c>
      <c r="L19" s="3">
        <v>89</v>
      </c>
      <c r="M19" s="3">
        <v>7</v>
      </c>
      <c r="N19" s="3">
        <v>7.47</v>
      </c>
      <c r="O19" s="3" t="s">
        <v>64</v>
      </c>
      <c r="P19" s="3" t="s">
        <v>28</v>
      </c>
      <c r="Q19" s="1" t="s">
        <v>2</v>
      </c>
      <c r="T19" s="5" t="s">
        <v>174</v>
      </c>
      <c r="U19" s="5"/>
      <c r="Y19" s="1" t="s">
        <v>186</v>
      </c>
      <c r="Z19" s="1" t="s">
        <v>187</v>
      </c>
      <c r="AC19" s="1" t="s">
        <v>266</v>
      </c>
      <c r="AE19" s="1" t="s">
        <v>267</v>
      </c>
      <c r="AF19" s="1" t="s">
        <v>268</v>
      </c>
      <c r="AG19" s="1" t="s">
        <v>269</v>
      </c>
      <c r="AH19" s="1" t="s">
        <v>270</v>
      </c>
    </row>
    <row r="20" spans="1:34" s="1" customFormat="1" x14ac:dyDescent="0.3">
      <c r="A20" s="1" t="s">
        <v>45</v>
      </c>
      <c r="B20" s="1">
        <f>240831000+E20</f>
        <v>240831604</v>
      </c>
      <c r="C20" s="4">
        <v>45535</v>
      </c>
      <c r="D20" s="3" t="s">
        <v>8</v>
      </c>
      <c r="E20" s="3">
        <v>604</v>
      </c>
      <c r="F20" s="3" t="s">
        <v>4</v>
      </c>
      <c r="G20" s="3" t="s">
        <v>113</v>
      </c>
      <c r="H20" s="3" t="s">
        <v>114</v>
      </c>
      <c r="I20" s="3" t="s">
        <v>115</v>
      </c>
      <c r="J20" s="4" t="s">
        <v>0</v>
      </c>
      <c r="K20" s="4">
        <v>42566</v>
      </c>
      <c r="L20" s="3">
        <v>97</v>
      </c>
      <c r="M20" s="3">
        <v>8</v>
      </c>
      <c r="N20" s="3">
        <v>8.1300000000000008</v>
      </c>
      <c r="O20" s="3" t="s">
        <v>9</v>
      </c>
      <c r="P20" s="3" t="s">
        <v>95</v>
      </c>
      <c r="Q20" s="1" t="s">
        <v>6</v>
      </c>
      <c r="T20" s="5" t="s">
        <v>174</v>
      </c>
      <c r="U20" s="5"/>
      <c r="Y20" s="1" t="s">
        <v>186</v>
      </c>
      <c r="Z20" s="1" t="s">
        <v>187</v>
      </c>
      <c r="AC20" s="1" t="s">
        <v>266</v>
      </c>
      <c r="AD20" s="1" t="s">
        <v>271</v>
      </c>
      <c r="AE20" s="1" t="s">
        <v>272</v>
      </c>
      <c r="AF20" s="1" t="s">
        <v>273</v>
      </c>
      <c r="AG20" s="1" t="s">
        <v>196</v>
      </c>
      <c r="AH20" s="1" t="s">
        <v>274</v>
      </c>
    </row>
    <row r="21" spans="1:34" s="1" customFormat="1" x14ac:dyDescent="0.3">
      <c r="A21" s="1" t="s">
        <v>45</v>
      </c>
      <c r="B21" s="1">
        <f>250105000+E21</f>
        <v>250105301</v>
      </c>
      <c r="C21" s="7">
        <v>45662</v>
      </c>
      <c r="D21" s="4" t="s">
        <v>79</v>
      </c>
      <c r="E21" s="3">
        <v>301</v>
      </c>
      <c r="F21" s="3" t="s">
        <v>4</v>
      </c>
      <c r="G21" s="3" t="s">
        <v>116</v>
      </c>
      <c r="H21" s="3" t="s">
        <v>117</v>
      </c>
      <c r="I21" s="3" t="s">
        <v>118</v>
      </c>
      <c r="J21" s="3" t="s">
        <v>3</v>
      </c>
      <c r="K21" s="4">
        <v>42598</v>
      </c>
      <c r="L21" s="3">
        <v>100</v>
      </c>
      <c r="M21" s="3">
        <v>8</v>
      </c>
      <c r="N21" s="3">
        <v>8.39</v>
      </c>
      <c r="O21" s="3" t="s">
        <v>119</v>
      </c>
      <c r="P21" s="3" t="s">
        <v>120</v>
      </c>
      <c r="Q21" s="3" t="s">
        <v>121</v>
      </c>
      <c r="T21" s="5" t="s">
        <v>174</v>
      </c>
      <c r="U21" s="5"/>
      <c r="Z21" s="1" t="s">
        <v>187</v>
      </c>
      <c r="AC21" s="1" t="s">
        <v>188</v>
      </c>
      <c r="AE21" s="1" t="s">
        <v>275</v>
      </c>
      <c r="AF21" s="1" t="s">
        <v>276</v>
      </c>
      <c r="AG21" s="1" t="s">
        <v>277</v>
      </c>
      <c r="AH21" s="1" t="s">
        <v>278</v>
      </c>
    </row>
    <row r="22" spans="1:34" s="1" customFormat="1" x14ac:dyDescent="0.3">
      <c r="A22" s="1" t="s">
        <v>45</v>
      </c>
      <c r="B22" s="1">
        <f t="shared" ref="B22:B26" si="1">250105000+E22</f>
        <v>250105403</v>
      </c>
      <c r="C22" s="7">
        <v>45662</v>
      </c>
      <c r="D22" s="4" t="s">
        <v>60</v>
      </c>
      <c r="E22" s="3">
        <v>403</v>
      </c>
      <c r="F22" s="3" t="s">
        <v>4</v>
      </c>
      <c r="G22" s="3" t="s">
        <v>122</v>
      </c>
      <c r="H22" s="3" t="s">
        <v>123</v>
      </c>
      <c r="I22" s="3" t="s">
        <v>124</v>
      </c>
      <c r="J22" s="3" t="s">
        <v>0</v>
      </c>
      <c r="K22" s="4">
        <v>42840</v>
      </c>
      <c r="L22" s="3">
        <v>92</v>
      </c>
      <c r="M22" s="3">
        <v>7</v>
      </c>
      <c r="N22" s="3">
        <v>7.72</v>
      </c>
      <c r="O22" s="3" t="s">
        <v>125</v>
      </c>
      <c r="P22" s="3" t="s">
        <v>126</v>
      </c>
      <c r="Q22" s="3" t="s">
        <v>127</v>
      </c>
      <c r="T22" s="5" t="s">
        <v>174</v>
      </c>
      <c r="U22" s="5"/>
      <c r="Y22" s="1" t="s">
        <v>235</v>
      </c>
      <c r="Z22" s="1" t="s">
        <v>187</v>
      </c>
      <c r="AC22" s="1" t="s">
        <v>279</v>
      </c>
      <c r="AD22" s="1" t="s">
        <v>280</v>
      </c>
      <c r="AE22" s="1" t="s">
        <v>281</v>
      </c>
      <c r="AF22" s="1" t="s">
        <v>282</v>
      </c>
      <c r="AG22" s="1" t="s">
        <v>283</v>
      </c>
      <c r="AH22" s="1" t="s">
        <v>284</v>
      </c>
    </row>
    <row r="23" spans="1:34" s="1" customFormat="1" x14ac:dyDescent="0.3">
      <c r="A23" s="1" t="s">
        <v>45</v>
      </c>
      <c r="B23" s="1">
        <f t="shared" si="1"/>
        <v>250105404</v>
      </c>
      <c r="C23" s="7">
        <v>45662</v>
      </c>
      <c r="D23" s="4" t="s">
        <v>60</v>
      </c>
      <c r="E23" s="3">
        <v>404</v>
      </c>
      <c r="F23" s="3" t="s">
        <v>4</v>
      </c>
      <c r="G23" s="3" t="s">
        <v>128</v>
      </c>
      <c r="H23" s="3" t="s">
        <v>129</v>
      </c>
      <c r="I23" s="3" t="s">
        <v>130</v>
      </c>
      <c r="J23" s="3" t="s">
        <v>3</v>
      </c>
      <c r="K23" s="4">
        <v>43151</v>
      </c>
      <c r="L23" s="3">
        <v>82</v>
      </c>
      <c r="M23" s="3">
        <v>6</v>
      </c>
      <c r="N23" s="3">
        <v>6.88</v>
      </c>
      <c r="O23" s="3" t="s">
        <v>131</v>
      </c>
      <c r="P23" s="3" t="s">
        <v>1</v>
      </c>
      <c r="Q23" s="3" t="s">
        <v>121</v>
      </c>
      <c r="T23" s="5" t="s">
        <v>174</v>
      </c>
      <c r="U23" s="5"/>
      <c r="Y23" s="1" t="s">
        <v>186</v>
      </c>
      <c r="Z23" s="1" t="s">
        <v>187</v>
      </c>
      <c r="AC23" s="1" t="s">
        <v>222</v>
      </c>
      <c r="AE23" s="1" t="s">
        <v>285</v>
      </c>
      <c r="AF23" s="1" t="s">
        <v>286</v>
      </c>
      <c r="AG23" s="1" t="s">
        <v>287</v>
      </c>
      <c r="AH23" s="1" t="s">
        <v>288</v>
      </c>
    </row>
    <row r="24" spans="1:34" x14ac:dyDescent="0.3">
      <c r="A24" s="1" t="s">
        <v>45</v>
      </c>
      <c r="B24" s="1">
        <f t="shared" si="1"/>
        <v>250105501</v>
      </c>
      <c r="C24" s="7">
        <v>45662</v>
      </c>
      <c r="D24" s="4" t="s">
        <v>7</v>
      </c>
      <c r="E24" s="3">
        <v>501</v>
      </c>
      <c r="F24" s="3" t="s">
        <v>4</v>
      </c>
      <c r="G24" s="3" t="s">
        <v>132</v>
      </c>
      <c r="H24" s="3" t="s">
        <v>133</v>
      </c>
      <c r="I24" s="3" t="s">
        <v>134</v>
      </c>
      <c r="J24" s="3" t="s">
        <v>0</v>
      </c>
      <c r="K24" s="4">
        <v>43817</v>
      </c>
      <c r="L24" s="3">
        <v>60</v>
      </c>
      <c r="M24" s="3">
        <v>5</v>
      </c>
      <c r="N24" s="3">
        <v>5.05</v>
      </c>
      <c r="O24" s="3" t="s">
        <v>119</v>
      </c>
      <c r="P24" s="3" t="s">
        <v>120</v>
      </c>
      <c r="Q24" s="3" t="s">
        <v>121</v>
      </c>
      <c r="T24" s="5" t="s">
        <v>181</v>
      </c>
      <c r="Y24" t="s">
        <v>186</v>
      </c>
      <c r="Z24" t="s">
        <v>187</v>
      </c>
      <c r="AC24" t="s">
        <v>266</v>
      </c>
      <c r="AD24" t="s">
        <v>289</v>
      </c>
      <c r="AE24" t="s">
        <v>290</v>
      </c>
      <c r="AF24" t="s">
        <v>291</v>
      </c>
      <c r="AG24" t="s">
        <v>292</v>
      </c>
      <c r="AH24" t="s">
        <v>293</v>
      </c>
    </row>
    <row r="25" spans="1:34" x14ac:dyDescent="0.3">
      <c r="A25" s="1" t="s">
        <v>45</v>
      </c>
      <c r="B25" s="1">
        <f t="shared" si="1"/>
        <v>250105503</v>
      </c>
      <c r="C25" s="7">
        <v>45662</v>
      </c>
      <c r="D25" s="4" t="s">
        <v>7</v>
      </c>
      <c r="E25" s="3">
        <v>503</v>
      </c>
      <c r="F25" s="3" t="s">
        <v>135</v>
      </c>
      <c r="G25" s="3" t="s">
        <v>136</v>
      </c>
      <c r="H25" s="3" t="s">
        <v>137</v>
      </c>
      <c r="I25" s="3" t="s">
        <v>138</v>
      </c>
      <c r="J25" s="3" t="s">
        <v>0</v>
      </c>
      <c r="K25" s="4">
        <v>43789</v>
      </c>
      <c r="L25" s="3">
        <v>61</v>
      </c>
      <c r="M25" s="3">
        <v>5</v>
      </c>
      <c r="N25" s="3">
        <v>5.13</v>
      </c>
      <c r="O25" s="3" t="s">
        <v>125</v>
      </c>
      <c r="P25" s="3" t="s">
        <v>126</v>
      </c>
      <c r="Q25" s="3" t="s">
        <v>127</v>
      </c>
      <c r="T25" s="5" t="s">
        <v>174</v>
      </c>
      <c r="V25" s="1"/>
      <c r="W25" s="1"/>
      <c r="Y25" t="s">
        <v>294</v>
      </c>
      <c r="Z25" t="s">
        <v>295</v>
      </c>
      <c r="AC25" t="s">
        <v>200</v>
      </c>
      <c r="AE25" t="s">
        <v>296</v>
      </c>
      <c r="AF25" t="s">
        <v>297</v>
      </c>
      <c r="AG25" t="s">
        <v>298</v>
      </c>
      <c r="AH25" t="s">
        <v>299</v>
      </c>
    </row>
    <row r="26" spans="1:34" x14ac:dyDescent="0.3">
      <c r="A26" s="1" t="s">
        <v>45</v>
      </c>
      <c r="B26" s="1">
        <f t="shared" si="1"/>
        <v>250105603</v>
      </c>
      <c r="C26" s="7">
        <v>45662</v>
      </c>
      <c r="D26" s="4" t="s">
        <v>8</v>
      </c>
      <c r="E26" s="3">
        <v>603</v>
      </c>
      <c r="F26" s="3" t="s">
        <v>4</v>
      </c>
      <c r="G26" s="3" t="s">
        <v>139</v>
      </c>
      <c r="H26" s="3" t="s">
        <v>140</v>
      </c>
      <c r="I26" s="3" t="s">
        <v>141</v>
      </c>
      <c r="J26" s="3" t="s">
        <v>0</v>
      </c>
      <c r="K26" s="4">
        <v>43560</v>
      </c>
      <c r="L26" s="3">
        <v>69</v>
      </c>
      <c r="M26" s="3">
        <v>5</v>
      </c>
      <c r="N26" s="3">
        <v>5.75</v>
      </c>
      <c r="O26" s="3" t="s">
        <v>119</v>
      </c>
      <c r="P26" s="3" t="s">
        <v>126</v>
      </c>
      <c r="Q26" s="3" t="s">
        <v>127</v>
      </c>
      <c r="T26" s="5" t="s">
        <v>178</v>
      </c>
      <c r="Y26" t="s">
        <v>300</v>
      </c>
      <c r="Z26" t="s">
        <v>187</v>
      </c>
      <c r="AC26" t="s">
        <v>301</v>
      </c>
      <c r="AD26" t="s">
        <v>302</v>
      </c>
      <c r="AE26" t="s">
        <v>303</v>
      </c>
      <c r="AF26" t="s">
        <v>304</v>
      </c>
      <c r="AG26" t="s">
        <v>305</v>
      </c>
      <c r="AH26" t="s">
        <v>306</v>
      </c>
    </row>
    <row r="27" spans="1:34" x14ac:dyDescent="0.3">
      <c r="A27" s="1" t="s">
        <v>45</v>
      </c>
      <c r="B27" s="1">
        <f>250112000+E27</f>
        <v>250112204</v>
      </c>
      <c r="C27" s="7">
        <v>45669</v>
      </c>
      <c r="D27" s="4" t="s">
        <v>142</v>
      </c>
      <c r="E27" s="3">
        <v>204</v>
      </c>
      <c r="F27" s="3" t="s">
        <v>4</v>
      </c>
      <c r="G27" s="3" t="s">
        <v>143</v>
      </c>
      <c r="H27" s="3" t="s">
        <v>144</v>
      </c>
      <c r="I27" s="3" t="s">
        <v>145</v>
      </c>
      <c r="J27" s="3" t="s">
        <v>0</v>
      </c>
      <c r="K27" s="4">
        <v>43214</v>
      </c>
      <c r="L27" s="3">
        <v>80</v>
      </c>
      <c r="M27" s="3">
        <v>6</v>
      </c>
      <c r="N27" s="3">
        <v>6.72</v>
      </c>
      <c r="O27" s="3" t="s">
        <v>131</v>
      </c>
      <c r="P27" s="3" t="s">
        <v>1</v>
      </c>
      <c r="Q27" s="3"/>
      <c r="T27" s="5" t="s">
        <v>175</v>
      </c>
      <c r="Y27" t="s">
        <v>186</v>
      </c>
      <c r="Z27" t="s">
        <v>187</v>
      </c>
      <c r="AC27" t="s">
        <v>222</v>
      </c>
      <c r="AD27" t="s">
        <v>307</v>
      </c>
      <c r="AE27" t="s">
        <v>308</v>
      </c>
      <c r="AF27" t="s">
        <v>309</v>
      </c>
      <c r="AG27" t="s">
        <v>310</v>
      </c>
      <c r="AH27" t="s">
        <v>311</v>
      </c>
    </row>
    <row r="28" spans="1:34" x14ac:dyDescent="0.3">
      <c r="A28" s="1" t="s">
        <v>45</v>
      </c>
      <c r="B28" s="1">
        <f t="shared" ref="B28:B31" si="2">250112000+E28</f>
        <v>250112304</v>
      </c>
      <c r="C28" s="7">
        <v>45669</v>
      </c>
      <c r="D28" s="4" t="s">
        <v>79</v>
      </c>
      <c r="E28" s="3">
        <v>304</v>
      </c>
      <c r="F28" s="3" t="s">
        <v>4</v>
      </c>
      <c r="G28" s="3" t="s">
        <v>146</v>
      </c>
      <c r="H28" s="3" t="s">
        <v>147</v>
      </c>
      <c r="I28" s="3" t="s">
        <v>148</v>
      </c>
      <c r="J28" s="3" t="s">
        <v>3</v>
      </c>
      <c r="K28" s="4">
        <v>42952</v>
      </c>
      <c r="L28" s="3">
        <v>89</v>
      </c>
      <c r="M28" s="3">
        <v>7</v>
      </c>
      <c r="N28" s="3">
        <v>7.44</v>
      </c>
      <c r="O28" s="3" t="s">
        <v>131</v>
      </c>
      <c r="P28" s="3" t="s">
        <v>1</v>
      </c>
      <c r="Q28" s="3"/>
      <c r="T28" s="5" t="s">
        <v>174</v>
      </c>
      <c r="Y28" t="s">
        <v>186</v>
      </c>
      <c r="Z28" t="s">
        <v>187</v>
      </c>
      <c r="AC28" t="s">
        <v>237</v>
      </c>
      <c r="AD28" t="s">
        <v>312</v>
      </c>
      <c r="AE28" t="s">
        <v>313</v>
      </c>
      <c r="AF28" t="s">
        <v>314</v>
      </c>
      <c r="AG28" t="s">
        <v>315</v>
      </c>
      <c r="AH28" t="s">
        <v>316</v>
      </c>
    </row>
    <row r="29" spans="1:34" x14ac:dyDescent="0.3">
      <c r="A29" s="1" t="s">
        <v>45</v>
      </c>
      <c r="B29" s="1">
        <f>250112000+E29</f>
        <v>250112404</v>
      </c>
      <c r="C29" s="7">
        <v>45669</v>
      </c>
      <c r="D29" s="4" t="s">
        <v>60</v>
      </c>
      <c r="E29" s="8">
        <v>404</v>
      </c>
      <c r="F29" s="3" t="s">
        <v>4</v>
      </c>
      <c r="G29" s="3" t="s">
        <v>155</v>
      </c>
      <c r="H29" s="3" t="s">
        <v>156</v>
      </c>
      <c r="I29" s="3" t="s">
        <v>157</v>
      </c>
      <c r="J29" s="3" t="s">
        <v>3</v>
      </c>
      <c r="K29" s="4">
        <v>42576</v>
      </c>
      <c r="L29" s="3">
        <v>101</v>
      </c>
      <c r="M29" s="3">
        <v>8</v>
      </c>
      <c r="N29" s="3">
        <v>8.4600000000000009</v>
      </c>
      <c r="O29" s="3" t="s">
        <v>131</v>
      </c>
      <c r="P29" s="3" t="s">
        <v>1</v>
      </c>
      <c r="Q29" s="3"/>
      <c r="T29" s="5" t="s">
        <v>174</v>
      </c>
      <c r="Y29" t="s">
        <v>186</v>
      </c>
      <c r="Z29" t="s">
        <v>187</v>
      </c>
      <c r="AC29" t="s">
        <v>188</v>
      </c>
      <c r="AD29" t="s">
        <v>317</v>
      </c>
      <c r="AE29" t="s">
        <v>318</v>
      </c>
      <c r="AF29" t="s">
        <v>319</v>
      </c>
      <c r="AG29" t="s">
        <v>320</v>
      </c>
      <c r="AH29" t="s">
        <v>321</v>
      </c>
    </row>
    <row r="30" spans="1:34" x14ac:dyDescent="0.3">
      <c r="A30" s="1" t="s">
        <v>45</v>
      </c>
      <c r="B30" s="1">
        <f t="shared" si="2"/>
        <v>250112504</v>
      </c>
      <c r="C30" s="7">
        <v>45669</v>
      </c>
      <c r="D30" s="4" t="s">
        <v>7</v>
      </c>
      <c r="E30" s="3">
        <v>504</v>
      </c>
      <c r="F30" s="3" t="s">
        <v>4</v>
      </c>
      <c r="G30" s="3" t="s">
        <v>149</v>
      </c>
      <c r="H30" s="3" t="s">
        <v>150</v>
      </c>
      <c r="I30" s="3" t="s">
        <v>151</v>
      </c>
      <c r="J30" s="3" t="s">
        <v>3</v>
      </c>
      <c r="K30" s="4">
        <v>42975</v>
      </c>
      <c r="L30" s="3">
        <v>88</v>
      </c>
      <c r="M30" s="3">
        <v>7</v>
      </c>
      <c r="N30" s="3">
        <v>7.37</v>
      </c>
      <c r="O30" s="3" t="s">
        <v>131</v>
      </c>
      <c r="P30" s="3" t="s">
        <v>1</v>
      </c>
      <c r="Q30" s="3"/>
      <c r="T30" s="5" t="s">
        <v>174</v>
      </c>
      <c r="Y30" t="s">
        <v>186</v>
      </c>
      <c r="Z30" t="s">
        <v>187</v>
      </c>
      <c r="AC30" t="s">
        <v>211</v>
      </c>
      <c r="AD30" t="s">
        <v>322</v>
      </c>
      <c r="AE30" t="s">
        <v>323</v>
      </c>
      <c r="AF30" t="s">
        <v>324</v>
      </c>
      <c r="AG30" t="s">
        <v>325</v>
      </c>
      <c r="AH30" t="s">
        <v>326</v>
      </c>
    </row>
    <row r="31" spans="1:34" x14ac:dyDescent="0.3">
      <c r="A31" s="1" t="s">
        <v>45</v>
      </c>
      <c r="B31" s="1">
        <f t="shared" si="2"/>
        <v>250112604</v>
      </c>
      <c r="C31" s="7">
        <v>45669</v>
      </c>
      <c r="D31" s="4" t="s">
        <v>8</v>
      </c>
      <c r="E31" s="3">
        <v>604</v>
      </c>
      <c r="F31" s="3" t="s">
        <v>4</v>
      </c>
      <c r="G31" s="3" t="s">
        <v>152</v>
      </c>
      <c r="H31" s="3" t="s">
        <v>153</v>
      </c>
      <c r="I31" s="3" t="s">
        <v>154</v>
      </c>
      <c r="J31" s="3" t="s">
        <v>0</v>
      </c>
      <c r="K31" s="4">
        <v>43251</v>
      </c>
      <c r="L31" s="3">
        <v>79</v>
      </c>
      <c r="M31" s="3">
        <v>6</v>
      </c>
      <c r="N31" s="3">
        <v>6.62</v>
      </c>
      <c r="O31" s="3" t="s">
        <v>131</v>
      </c>
      <c r="P31" s="3" t="s">
        <v>1</v>
      </c>
      <c r="Q31" s="3"/>
      <c r="T31" s="5" t="s">
        <v>174</v>
      </c>
      <c r="Y31" t="s">
        <v>186</v>
      </c>
      <c r="Z31" t="s">
        <v>187</v>
      </c>
      <c r="AC31" t="s">
        <v>212</v>
      </c>
      <c r="AD31" t="s">
        <v>327</v>
      </c>
      <c r="AE31" t="s">
        <v>328</v>
      </c>
      <c r="AF31" t="s">
        <v>329</v>
      </c>
      <c r="AG31" t="s">
        <v>330</v>
      </c>
      <c r="AH31" t="s">
        <v>331</v>
      </c>
    </row>
    <row r="32" spans="1:34" x14ac:dyDescent="0.3">
      <c r="A32" s="1" t="s">
        <v>45</v>
      </c>
      <c r="B32" s="1">
        <f>250119000+E32</f>
        <v>250119104</v>
      </c>
      <c r="C32" s="7">
        <v>45676</v>
      </c>
      <c r="D32" s="4" t="s">
        <v>158</v>
      </c>
      <c r="E32" s="3">
        <v>104</v>
      </c>
      <c r="F32" s="3" t="s">
        <v>4</v>
      </c>
      <c r="G32" s="3" t="s">
        <v>159</v>
      </c>
      <c r="H32" s="3" t="s">
        <v>160</v>
      </c>
      <c r="I32" s="3" t="s">
        <v>161</v>
      </c>
      <c r="J32" s="3" t="s">
        <v>3</v>
      </c>
      <c r="K32" s="4">
        <v>43385</v>
      </c>
      <c r="L32" s="3">
        <v>75</v>
      </c>
      <c r="M32" s="3">
        <v>6</v>
      </c>
      <c r="N32" s="3">
        <v>6.27</v>
      </c>
      <c r="O32" s="3" t="s">
        <v>131</v>
      </c>
      <c r="P32" s="3" t="s">
        <v>1</v>
      </c>
      <c r="Q32" s="3" t="s">
        <v>121</v>
      </c>
      <c r="T32" s="5" t="s">
        <v>174</v>
      </c>
      <c r="W32" t="s">
        <v>162</v>
      </c>
      <c r="Y32" t="s">
        <v>186</v>
      </c>
      <c r="Z32" t="s">
        <v>187</v>
      </c>
      <c r="AC32" t="s">
        <v>217</v>
      </c>
      <c r="AD32" t="s">
        <v>332</v>
      </c>
      <c r="AE32" t="s">
        <v>333</v>
      </c>
      <c r="AF32" t="s">
        <v>334</v>
      </c>
      <c r="AG32" t="s">
        <v>335</v>
      </c>
      <c r="AH32" t="s">
        <v>336</v>
      </c>
    </row>
    <row r="33" spans="1:34" x14ac:dyDescent="0.3">
      <c r="A33" s="1" t="s">
        <v>45</v>
      </c>
      <c r="B33" s="1">
        <f>250119000+E33</f>
        <v>250119201</v>
      </c>
      <c r="C33" s="7">
        <v>45676</v>
      </c>
      <c r="D33" s="4" t="s">
        <v>142</v>
      </c>
      <c r="E33" s="3">
        <v>201</v>
      </c>
      <c r="F33" s="3" t="s">
        <v>135</v>
      </c>
      <c r="G33" s="3" t="s">
        <v>163</v>
      </c>
      <c r="H33" s="3" t="s">
        <v>164</v>
      </c>
      <c r="I33" s="3" t="s">
        <v>165</v>
      </c>
      <c r="J33" s="3" t="s">
        <v>0</v>
      </c>
      <c r="K33" s="4">
        <v>43434</v>
      </c>
      <c r="L33" s="3">
        <v>73</v>
      </c>
      <c r="M33" s="3">
        <v>6</v>
      </c>
      <c r="N33" s="3">
        <v>6.14</v>
      </c>
      <c r="O33" s="3" t="s">
        <v>119</v>
      </c>
      <c r="P33" s="3" t="s">
        <v>120</v>
      </c>
      <c r="Q33" s="3" t="s">
        <v>166</v>
      </c>
      <c r="T33" s="5" t="s">
        <v>174</v>
      </c>
      <c r="Z33" t="s">
        <v>337</v>
      </c>
      <c r="AC33" t="s">
        <v>250</v>
      </c>
      <c r="AD33" t="s">
        <v>338</v>
      </c>
      <c r="AE33" t="s">
        <v>339</v>
      </c>
      <c r="AF33" t="s">
        <v>340</v>
      </c>
      <c r="AG33" t="s">
        <v>341</v>
      </c>
      <c r="AH33" t="s">
        <v>342</v>
      </c>
    </row>
    <row r="34" spans="1:34" x14ac:dyDescent="0.3">
      <c r="A34" s="1" t="s">
        <v>45</v>
      </c>
      <c r="B34" s="1">
        <f>250119000+E34</f>
        <v>250119503</v>
      </c>
      <c r="C34" s="7">
        <v>45676</v>
      </c>
      <c r="D34" s="4" t="s">
        <v>7</v>
      </c>
      <c r="E34" s="3">
        <v>503</v>
      </c>
      <c r="F34" s="3" t="s">
        <v>4</v>
      </c>
      <c r="G34" s="3" t="s">
        <v>167</v>
      </c>
      <c r="H34" s="3" t="s">
        <v>168</v>
      </c>
      <c r="I34" s="3" t="s">
        <v>169</v>
      </c>
      <c r="J34" s="3" t="s">
        <v>3</v>
      </c>
      <c r="K34" s="4">
        <v>42782</v>
      </c>
      <c r="L34" s="3">
        <v>95</v>
      </c>
      <c r="M34" s="3">
        <v>7</v>
      </c>
      <c r="N34" s="3">
        <v>7.93</v>
      </c>
      <c r="O34" s="3" t="s">
        <v>125</v>
      </c>
      <c r="P34" s="3" t="s">
        <v>126</v>
      </c>
      <c r="Q34" s="3" t="s">
        <v>121</v>
      </c>
      <c r="T34" s="5" t="s">
        <v>174</v>
      </c>
      <c r="W34" t="s">
        <v>170</v>
      </c>
      <c r="Z34" t="s">
        <v>187</v>
      </c>
      <c r="AC34" t="s">
        <v>343</v>
      </c>
      <c r="AE34" t="s">
        <v>344</v>
      </c>
      <c r="AF34" t="s">
        <v>345</v>
      </c>
      <c r="AG34" t="s">
        <v>346</v>
      </c>
      <c r="AH34" t="s">
        <v>347</v>
      </c>
    </row>
    <row r="35" spans="1:34" x14ac:dyDescent="0.3">
      <c r="A35" s="1" t="s">
        <v>45</v>
      </c>
      <c r="B35" s="1">
        <f>250119000+E35</f>
        <v>250119604</v>
      </c>
      <c r="C35" s="7">
        <v>45676</v>
      </c>
      <c r="D35" s="4" t="s">
        <v>8</v>
      </c>
      <c r="E35" s="3">
        <v>604</v>
      </c>
      <c r="F35" s="3" t="s">
        <v>4</v>
      </c>
      <c r="G35" s="3" t="s">
        <v>171</v>
      </c>
      <c r="H35" s="3" t="s">
        <v>172</v>
      </c>
      <c r="I35" s="3" t="s">
        <v>173</v>
      </c>
      <c r="J35" s="3" t="s">
        <v>3</v>
      </c>
      <c r="K35" s="4">
        <v>43089</v>
      </c>
      <c r="L35" s="3">
        <v>84</v>
      </c>
      <c r="M35" s="3">
        <v>7</v>
      </c>
      <c r="N35" s="3">
        <v>7.08</v>
      </c>
      <c r="O35" s="3" t="s">
        <v>131</v>
      </c>
      <c r="P35" s="3" t="s">
        <v>1</v>
      </c>
      <c r="Q35" s="3" t="s">
        <v>121</v>
      </c>
      <c r="T35" s="5" t="s">
        <v>174</v>
      </c>
      <c r="Y35" t="s">
        <v>186</v>
      </c>
      <c r="Z35" t="s">
        <v>187</v>
      </c>
      <c r="AC35" t="s">
        <v>260</v>
      </c>
      <c r="AD35" t="s">
        <v>348</v>
      </c>
      <c r="AE35" t="s">
        <v>349</v>
      </c>
      <c r="AF35" t="s">
        <v>350</v>
      </c>
      <c r="AG35" t="s">
        <v>351</v>
      </c>
      <c r="AH35" t="s">
        <v>352</v>
      </c>
    </row>
    <row r="36" spans="1:34" x14ac:dyDescent="0.3">
      <c r="A36" s="1" t="s">
        <v>45</v>
      </c>
      <c r="B36" s="1">
        <f>250126000+E36</f>
        <v>250126103</v>
      </c>
      <c r="C36" s="2">
        <v>45683</v>
      </c>
      <c r="D36" t="s">
        <v>158</v>
      </c>
      <c r="E36">
        <v>103</v>
      </c>
      <c r="F36" t="s">
        <v>135</v>
      </c>
      <c r="G36" t="s">
        <v>182</v>
      </c>
      <c r="H36" t="s">
        <v>183</v>
      </c>
      <c r="I36" t="s">
        <v>184</v>
      </c>
      <c r="J36" s="2" t="s">
        <v>3</v>
      </c>
      <c r="K36" s="2">
        <v>42859</v>
      </c>
      <c r="L36">
        <v>92</v>
      </c>
      <c r="M36">
        <v>7</v>
      </c>
      <c r="N36">
        <v>7.73</v>
      </c>
      <c r="O36" t="s">
        <v>125</v>
      </c>
      <c r="P36" t="s">
        <v>126</v>
      </c>
      <c r="Q36" t="s">
        <v>121</v>
      </c>
      <c r="T36" s="5" t="s">
        <v>174</v>
      </c>
      <c r="AC36" t="s">
        <v>212</v>
      </c>
      <c r="AE36" t="s">
        <v>353</v>
      </c>
      <c r="AF36" t="s">
        <v>354</v>
      </c>
      <c r="AG36" t="s">
        <v>355</v>
      </c>
      <c r="AH36" t="s">
        <v>356</v>
      </c>
    </row>
    <row r="37" spans="1:34" x14ac:dyDescent="0.3">
      <c r="A37" s="1" t="s">
        <v>45</v>
      </c>
      <c r="B37" s="1">
        <f>250301000+E37</f>
        <v>250301101</v>
      </c>
      <c r="C37" s="7">
        <v>45717</v>
      </c>
      <c r="D37" s="2" t="s">
        <v>357</v>
      </c>
      <c r="E37">
        <v>101</v>
      </c>
      <c r="F37" t="s">
        <v>4</v>
      </c>
      <c r="G37" t="s">
        <v>358</v>
      </c>
      <c r="H37" t="s">
        <v>359</v>
      </c>
      <c r="I37" t="s">
        <v>360</v>
      </c>
      <c r="J37" s="2" t="s">
        <v>0</v>
      </c>
      <c r="K37" s="2">
        <v>43699</v>
      </c>
      <c r="L37">
        <v>66</v>
      </c>
      <c r="M37">
        <v>5</v>
      </c>
      <c r="N37">
        <v>5.53</v>
      </c>
      <c r="O37" t="s">
        <v>119</v>
      </c>
      <c r="P37" t="s">
        <v>120</v>
      </c>
      <c r="Q37" t="s">
        <v>166</v>
      </c>
      <c r="W37" t="s">
        <v>361</v>
      </c>
      <c r="X37" t="s">
        <v>362</v>
      </c>
    </row>
    <row r="38" spans="1:34" x14ac:dyDescent="0.3">
      <c r="A38" s="1" t="s">
        <v>45</v>
      </c>
      <c r="B38" s="1">
        <f t="shared" ref="B38:B42" si="3">250301000+E38</f>
        <v>250301104</v>
      </c>
      <c r="C38" s="7">
        <v>45717</v>
      </c>
      <c r="D38" s="2" t="s">
        <v>357</v>
      </c>
      <c r="E38">
        <v>104</v>
      </c>
      <c r="F38" t="s">
        <v>363</v>
      </c>
      <c r="G38" t="s">
        <v>364</v>
      </c>
      <c r="H38" t="s">
        <v>365</v>
      </c>
      <c r="I38" t="s">
        <v>366</v>
      </c>
      <c r="J38" t="s">
        <v>0</v>
      </c>
      <c r="K38" s="2">
        <v>42532</v>
      </c>
      <c r="L38">
        <v>104</v>
      </c>
      <c r="M38">
        <v>8</v>
      </c>
      <c r="N38">
        <v>8.7200000000000006</v>
      </c>
      <c r="O38" t="s">
        <v>125</v>
      </c>
      <c r="P38" t="s">
        <v>1</v>
      </c>
      <c r="Q38" t="s">
        <v>121</v>
      </c>
      <c r="W38" t="s">
        <v>367</v>
      </c>
      <c r="X38" t="s">
        <v>368</v>
      </c>
    </row>
    <row r="39" spans="1:34" x14ac:dyDescent="0.3">
      <c r="A39" s="1" t="s">
        <v>45</v>
      </c>
      <c r="B39" s="1">
        <f t="shared" si="3"/>
        <v>250301203</v>
      </c>
      <c r="C39" s="7">
        <v>45717</v>
      </c>
      <c r="D39" s="2" t="s">
        <v>369</v>
      </c>
      <c r="E39">
        <v>203</v>
      </c>
      <c r="F39" t="s">
        <v>4</v>
      </c>
      <c r="G39" t="s">
        <v>370</v>
      </c>
      <c r="H39" t="s">
        <v>371</v>
      </c>
      <c r="I39" t="s">
        <v>372</v>
      </c>
      <c r="J39" t="s">
        <v>0</v>
      </c>
      <c r="K39" s="2">
        <v>42593</v>
      </c>
      <c r="L39">
        <v>102</v>
      </c>
      <c r="M39">
        <v>8</v>
      </c>
      <c r="N39">
        <v>8.56</v>
      </c>
      <c r="O39" t="s">
        <v>125</v>
      </c>
      <c r="P39" t="s">
        <v>126</v>
      </c>
      <c r="Q39" t="s">
        <v>166</v>
      </c>
      <c r="W39" t="s">
        <v>373</v>
      </c>
    </row>
    <row r="40" spans="1:34" x14ac:dyDescent="0.3">
      <c r="A40" t="s">
        <v>45</v>
      </c>
      <c r="B40" s="1">
        <f t="shared" si="3"/>
        <v>250301401</v>
      </c>
      <c r="C40" s="2">
        <v>45717</v>
      </c>
      <c r="D40" t="s">
        <v>374</v>
      </c>
      <c r="E40">
        <v>401</v>
      </c>
      <c r="F40" t="s">
        <v>4</v>
      </c>
      <c r="G40" t="s">
        <v>375</v>
      </c>
      <c r="H40" t="s">
        <v>376</v>
      </c>
      <c r="I40" t="s">
        <v>377</v>
      </c>
      <c r="J40" t="s">
        <v>0</v>
      </c>
      <c r="K40" s="2">
        <v>42156</v>
      </c>
      <c r="L40">
        <v>117</v>
      </c>
      <c r="M40">
        <v>9</v>
      </c>
      <c r="N40">
        <v>9.75</v>
      </c>
      <c r="O40" t="s">
        <v>119</v>
      </c>
      <c r="P40" t="s">
        <v>120</v>
      </c>
      <c r="Q40" t="s">
        <v>166</v>
      </c>
      <c r="W40" t="s">
        <v>378</v>
      </c>
    </row>
    <row r="41" spans="1:34" x14ac:dyDescent="0.3">
      <c r="A41" t="s">
        <v>45</v>
      </c>
      <c r="B41" s="1">
        <f t="shared" si="3"/>
        <v>250301403</v>
      </c>
      <c r="C41" s="2">
        <v>45717</v>
      </c>
      <c r="D41" t="s">
        <v>374</v>
      </c>
      <c r="E41">
        <v>403</v>
      </c>
      <c r="F41" t="s">
        <v>4</v>
      </c>
      <c r="G41" t="s">
        <v>379</v>
      </c>
      <c r="H41" t="s">
        <v>380</v>
      </c>
      <c r="I41" t="s">
        <v>381</v>
      </c>
      <c r="J41" t="s">
        <v>3</v>
      </c>
      <c r="K41" s="2">
        <v>42568</v>
      </c>
      <c r="L41">
        <v>103</v>
      </c>
      <c r="M41">
        <v>8</v>
      </c>
      <c r="N41">
        <v>8.6199999999999992</v>
      </c>
      <c r="O41" t="s">
        <v>125</v>
      </c>
      <c r="P41" t="s">
        <v>126</v>
      </c>
      <c r="Q41" t="s">
        <v>166</v>
      </c>
      <c r="W41" t="s">
        <v>378</v>
      </c>
    </row>
    <row r="42" spans="1:34" x14ac:dyDescent="0.3">
      <c r="A42" t="s">
        <v>45</v>
      </c>
      <c r="B42" s="1">
        <f t="shared" si="3"/>
        <v>250301601</v>
      </c>
      <c r="C42" s="2">
        <v>45717</v>
      </c>
      <c r="D42" t="s">
        <v>382</v>
      </c>
      <c r="E42">
        <v>601</v>
      </c>
      <c r="F42" t="s">
        <v>4</v>
      </c>
      <c r="G42" t="s">
        <v>383</v>
      </c>
      <c r="H42" t="s">
        <v>384</v>
      </c>
      <c r="I42" t="s">
        <v>385</v>
      </c>
      <c r="J42" t="s">
        <v>3</v>
      </c>
      <c r="K42" s="2">
        <v>42444</v>
      </c>
      <c r="L42">
        <v>107</v>
      </c>
      <c r="M42">
        <v>8</v>
      </c>
      <c r="N42">
        <v>8.9600000000000009</v>
      </c>
      <c r="O42" t="s">
        <v>119</v>
      </c>
      <c r="P42" t="s">
        <v>120</v>
      </c>
      <c r="Q42" t="s">
        <v>166</v>
      </c>
      <c r="W42" t="s">
        <v>386</v>
      </c>
    </row>
    <row r="43" spans="1:34" x14ac:dyDescent="0.3">
      <c r="A43" t="s">
        <v>45</v>
      </c>
      <c r="B43" s="1">
        <f>250706000+E43</f>
        <v>250706103</v>
      </c>
      <c r="C43" s="2">
        <v>45844</v>
      </c>
      <c r="D43" t="s">
        <v>357</v>
      </c>
      <c r="E43">
        <v>103</v>
      </c>
      <c r="F43" t="s">
        <v>4</v>
      </c>
      <c r="G43" t="s">
        <v>387</v>
      </c>
      <c r="H43" t="s">
        <v>388</v>
      </c>
      <c r="I43" t="s">
        <v>389</v>
      </c>
      <c r="J43" t="s">
        <v>3</v>
      </c>
      <c r="K43" s="2">
        <v>43942</v>
      </c>
      <c r="L43">
        <v>62</v>
      </c>
      <c r="M43">
        <v>5</v>
      </c>
      <c r="N43">
        <v>5.21</v>
      </c>
      <c r="O43" t="s">
        <v>390</v>
      </c>
      <c r="P43" t="s">
        <v>391</v>
      </c>
      <c r="Q43" t="s">
        <v>6</v>
      </c>
      <c r="W43" t="s">
        <v>392</v>
      </c>
    </row>
    <row r="44" spans="1:34" x14ac:dyDescent="0.3">
      <c r="A44" t="s">
        <v>45</v>
      </c>
      <c r="B44" s="1">
        <f t="shared" ref="B44:B45" si="4">250706000+E44</f>
        <v>250706303</v>
      </c>
      <c r="C44" s="2">
        <v>45844</v>
      </c>
      <c r="D44" t="s">
        <v>393</v>
      </c>
      <c r="E44">
        <v>303</v>
      </c>
      <c r="F44" t="s">
        <v>4</v>
      </c>
      <c r="G44" t="s">
        <v>394</v>
      </c>
      <c r="H44" t="s">
        <v>395</v>
      </c>
      <c r="I44" t="s">
        <v>396</v>
      </c>
      <c r="J44" t="s">
        <v>0</v>
      </c>
      <c r="K44" s="2">
        <v>43181</v>
      </c>
      <c r="L44">
        <v>87</v>
      </c>
      <c r="M44">
        <v>7</v>
      </c>
      <c r="N44">
        <v>7.29</v>
      </c>
      <c r="O44" t="s">
        <v>390</v>
      </c>
      <c r="P44" t="s">
        <v>391</v>
      </c>
      <c r="Q44" t="s">
        <v>6</v>
      </c>
    </row>
    <row r="45" spans="1:34" x14ac:dyDescent="0.3">
      <c r="A45" t="s">
        <v>45</v>
      </c>
      <c r="B45" s="1">
        <f t="shared" si="4"/>
        <v>250706603</v>
      </c>
      <c r="C45" s="2">
        <v>45844</v>
      </c>
      <c r="D45" t="s">
        <v>382</v>
      </c>
      <c r="E45">
        <v>603</v>
      </c>
      <c r="F45" t="s">
        <v>4</v>
      </c>
      <c r="G45" t="s">
        <v>397</v>
      </c>
      <c r="H45" t="s">
        <v>398</v>
      </c>
      <c r="I45" t="s">
        <v>399</v>
      </c>
      <c r="J45" t="s">
        <v>3</v>
      </c>
      <c r="K45" s="2">
        <v>42607</v>
      </c>
      <c r="L45">
        <v>106</v>
      </c>
      <c r="M45">
        <v>8</v>
      </c>
      <c r="N45">
        <v>8.86</v>
      </c>
      <c r="O45" t="s">
        <v>390</v>
      </c>
      <c r="P45" t="s">
        <v>391</v>
      </c>
      <c r="Q45" t="s">
        <v>6</v>
      </c>
    </row>
    <row r="46" spans="1:34" x14ac:dyDescent="0.3">
      <c r="A46" t="s">
        <v>45</v>
      </c>
      <c r="B46" s="1">
        <f>250719000+E46</f>
        <v>250719203</v>
      </c>
      <c r="C46" s="7">
        <v>45857</v>
      </c>
      <c r="D46" s="2" t="s">
        <v>369</v>
      </c>
      <c r="E46">
        <v>203</v>
      </c>
      <c r="F46" t="s">
        <v>4</v>
      </c>
      <c r="G46" t="s">
        <v>432</v>
      </c>
      <c r="H46" t="s">
        <v>433</v>
      </c>
      <c r="I46" t="s">
        <v>434</v>
      </c>
      <c r="J46" t="s">
        <v>0</v>
      </c>
      <c r="K46" s="2">
        <v>43930</v>
      </c>
      <c r="L46">
        <v>63</v>
      </c>
      <c r="M46">
        <v>5</v>
      </c>
      <c r="N46">
        <v>5.28</v>
      </c>
      <c r="O46" t="s">
        <v>390</v>
      </c>
      <c r="P46" t="s">
        <v>391</v>
      </c>
      <c r="R46" t="s">
        <v>437</v>
      </c>
      <c r="S46" t="s">
        <v>435</v>
      </c>
      <c r="W46" t="s">
        <v>436</v>
      </c>
    </row>
    <row r="47" spans="1:34" x14ac:dyDescent="0.3">
      <c r="A47" t="s">
        <v>45</v>
      </c>
      <c r="B47" s="1">
        <f>250720000+E47</f>
        <v>250720105</v>
      </c>
      <c r="C47" s="2">
        <v>45858</v>
      </c>
      <c r="D47" t="s">
        <v>357</v>
      </c>
      <c r="E47">
        <v>105</v>
      </c>
      <c r="F47" t="s">
        <v>5</v>
      </c>
      <c r="G47" t="s">
        <v>400</v>
      </c>
      <c r="H47" t="s">
        <v>401</v>
      </c>
      <c r="I47" t="s">
        <v>402</v>
      </c>
      <c r="J47" t="s">
        <v>0</v>
      </c>
      <c r="K47" s="2">
        <v>43118</v>
      </c>
      <c r="L47">
        <v>90</v>
      </c>
      <c r="M47">
        <v>7</v>
      </c>
      <c r="N47">
        <v>7.51</v>
      </c>
      <c r="O47" t="s">
        <v>9</v>
      </c>
      <c r="P47" t="s">
        <v>403</v>
      </c>
    </row>
    <row r="48" spans="1:34" x14ac:dyDescent="0.3">
      <c r="A48" t="s">
        <v>45</v>
      </c>
      <c r="B48" s="1">
        <f t="shared" ref="B48:B54" si="5">250720000+E48</f>
        <v>250720201</v>
      </c>
      <c r="C48" s="2">
        <v>45858</v>
      </c>
      <c r="D48" t="s">
        <v>369</v>
      </c>
      <c r="E48">
        <v>201</v>
      </c>
      <c r="F48" t="s">
        <v>4</v>
      </c>
      <c r="G48" t="s">
        <v>404</v>
      </c>
      <c r="H48" t="s">
        <v>405</v>
      </c>
      <c r="I48" t="s">
        <v>406</v>
      </c>
      <c r="J48" t="s">
        <v>3</v>
      </c>
      <c r="K48" s="2">
        <v>43978</v>
      </c>
      <c r="L48">
        <v>61</v>
      </c>
      <c r="M48">
        <v>5</v>
      </c>
      <c r="N48">
        <v>5.15</v>
      </c>
      <c r="O48" t="s">
        <v>407</v>
      </c>
      <c r="P48" t="s">
        <v>408</v>
      </c>
    </row>
    <row r="49" spans="1:23" x14ac:dyDescent="0.3">
      <c r="A49" t="s">
        <v>45</v>
      </c>
      <c r="B49" s="1">
        <f t="shared" si="5"/>
        <v>250720204</v>
      </c>
      <c r="C49" s="2">
        <v>45858</v>
      </c>
      <c r="D49" t="s">
        <v>369</v>
      </c>
      <c r="E49">
        <v>204</v>
      </c>
      <c r="F49" t="s">
        <v>4</v>
      </c>
      <c r="G49" t="s">
        <v>409</v>
      </c>
      <c r="H49" t="s">
        <v>410</v>
      </c>
      <c r="I49" t="s">
        <v>411</v>
      </c>
      <c r="J49" t="s">
        <v>3</v>
      </c>
      <c r="K49" s="2">
        <v>43546</v>
      </c>
      <c r="L49">
        <v>75</v>
      </c>
      <c r="M49">
        <v>6</v>
      </c>
      <c r="N49">
        <v>6.33</v>
      </c>
      <c r="O49" t="s">
        <v>412</v>
      </c>
      <c r="P49" t="s">
        <v>413</v>
      </c>
      <c r="W49" t="s">
        <v>414</v>
      </c>
    </row>
    <row r="50" spans="1:23" x14ac:dyDescent="0.3">
      <c r="A50" t="s">
        <v>45</v>
      </c>
      <c r="B50" s="1">
        <f t="shared" si="5"/>
        <v>250720301</v>
      </c>
      <c r="C50" s="2">
        <v>45858</v>
      </c>
      <c r="D50" t="s">
        <v>393</v>
      </c>
      <c r="E50">
        <v>301</v>
      </c>
      <c r="F50" t="s">
        <v>5</v>
      </c>
      <c r="G50" t="s">
        <v>415</v>
      </c>
      <c r="H50" t="s">
        <v>416</v>
      </c>
      <c r="I50" t="s">
        <v>417</v>
      </c>
      <c r="J50" t="s">
        <v>3</v>
      </c>
      <c r="K50" s="2">
        <v>43550</v>
      </c>
      <c r="L50">
        <v>75</v>
      </c>
      <c r="M50">
        <v>6</v>
      </c>
      <c r="N50">
        <v>6.32</v>
      </c>
      <c r="O50" t="s">
        <v>407</v>
      </c>
      <c r="P50" t="s">
        <v>408</v>
      </c>
    </row>
    <row r="51" spans="1:23" x14ac:dyDescent="0.3">
      <c r="A51" t="s">
        <v>45</v>
      </c>
      <c r="B51" s="1">
        <f t="shared" si="5"/>
        <v>250720404</v>
      </c>
      <c r="C51" s="2">
        <v>45858</v>
      </c>
      <c r="D51" t="s">
        <v>374</v>
      </c>
      <c r="E51">
        <v>404</v>
      </c>
      <c r="F51" t="s">
        <v>5</v>
      </c>
      <c r="G51" t="s">
        <v>418</v>
      </c>
      <c r="H51" t="s">
        <v>419</v>
      </c>
      <c r="I51" t="s">
        <v>420</v>
      </c>
      <c r="J51" t="s">
        <v>0</v>
      </c>
      <c r="K51" s="2">
        <v>42719</v>
      </c>
      <c r="L51">
        <v>103</v>
      </c>
      <c r="M51">
        <v>8</v>
      </c>
      <c r="N51">
        <v>8.6</v>
      </c>
      <c r="O51" t="s">
        <v>412</v>
      </c>
      <c r="P51" t="s">
        <v>413</v>
      </c>
    </row>
    <row r="52" spans="1:23" x14ac:dyDescent="0.3">
      <c r="A52" t="s">
        <v>45</v>
      </c>
      <c r="B52" s="1">
        <f t="shared" si="5"/>
        <v>250720503</v>
      </c>
      <c r="C52" s="2">
        <v>45858</v>
      </c>
      <c r="D52" t="s">
        <v>421</v>
      </c>
      <c r="E52">
        <v>503</v>
      </c>
      <c r="F52" t="s">
        <v>4</v>
      </c>
      <c r="G52" t="s">
        <v>422</v>
      </c>
      <c r="H52" t="s">
        <v>423</v>
      </c>
      <c r="I52" t="s">
        <v>424</v>
      </c>
      <c r="J52" t="s">
        <v>0</v>
      </c>
      <c r="K52" s="2">
        <v>43031</v>
      </c>
      <c r="L52">
        <v>92</v>
      </c>
      <c r="M52">
        <v>7</v>
      </c>
      <c r="N52">
        <v>7.74</v>
      </c>
      <c r="O52" t="s">
        <v>390</v>
      </c>
      <c r="P52" t="s">
        <v>425</v>
      </c>
      <c r="W52" t="s">
        <v>426</v>
      </c>
    </row>
    <row r="53" spans="1:23" x14ac:dyDescent="0.3">
      <c r="A53" t="s">
        <v>45</v>
      </c>
      <c r="B53" s="1">
        <f t="shared" si="5"/>
        <v>250720601</v>
      </c>
      <c r="C53" s="2">
        <v>45858</v>
      </c>
      <c r="D53" t="s">
        <v>382</v>
      </c>
      <c r="E53">
        <v>601</v>
      </c>
      <c r="F53" t="s">
        <v>5</v>
      </c>
      <c r="G53" t="s">
        <v>427</v>
      </c>
      <c r="H53" t="s">
        <v>428</v>
      </c>
      <c r="I53" t="s">
        <v>429</v>
      </c>
      <c r="J53" t="s">
        <v>3</v>
      </c>
      <c r="K53" s="2">
        <v>42759</v>
      </c>
      <c r="L53">
        <v>101</v>
      </c>
      <c r="M53">
        <v>8</v>
      </c>
      <c r="N53">
        <v>8.49</v>
      </c>
      <c r="O53" t="s">
        <v>407</v>
      </c>
      <c r="P53" t="s">
        <v>408</v>
      </c>
      <c r="W53" t="s">
        <v>430</v>
      </c>
    </row>
    <row r="54" spans="1:23" x14ac:dyDescent="0.3">
      <c r="A54" t="s">
        <v>45</v>
      </c>
      <c r="B54" s="1">
        <f t="shared" si="5"/>
        <v>250720603</v>
      </c>
      <c r="C54" s="2">
        <v>45858</v>
      </c>
      <c r="D54" t="s">
        <v>382</v>
      </c>
      <c r="E54">
        <v>603</v>
      </c>
      <c r="F54" t="s">
        <v>5</v>
      </c>
      <c r="G54" t="s">
        <v>431</v>
      </c>
      <c r="H54" t="s">
        <v>428</v>
      </c>
      <c r="I54" t="s">
        <v>429</v>
      </c>
      <c r="J54" t="s">
        <v>3</v>
      </c>
      <c r="K54" s="2">
        <v>43713</v>
      </c>
      <c r="L54">
        <v>70</v>
      </c>
      <c r="M54">
        <v>5</v>
      </c>
      <c r="N54">
        <v>5.88</v>
      </c>
      <c r="O54" t="s">
        <v>390</v>
      </c>
      <c r="P54" t="s">
        <v>425</v>
      </c>
      <c r="W54" t="s">
        <v>430</v>
      </c>
    </row>
    <row r="55" spans="1:23" x14ac:dyDescent="0.3">
      <c r="A55" t="s">
        <v>45</v>
      </c>
      <c r="B55" s="1">
        <f>250823000+E55</f>
        <v>250823101</v>
      </c>
      <c r="C55" s="7">
        <v>45892</v>
      </c>
      <c r="D55" s="2" t="s">
        <v>357</v>
      </c>
      <c r="E55">
        <v>101</v>
      </c>
      <c r="F55" t="s">
        <v>4</v>
      </c>
      <c r="G55" t="s">
        <v>449</v>
      </c>
      <c r="H55" t="s">
        <v>455</v>
      </c>
      <c r="I55" t="s">
        <v>450</v>
      </c>
      <c r="J55" t="s">
        <v>3</v>
      </c>
      <c r="K55" s="2">
        <v>43389</v>
      </c>
      <c r="L55">
        <v>82</v>
      </c>
      <c r="M55">
        <v>6</v>
      </c>
      <c r="N55">
        <v>6.85</v>
      </c>
      <c r="O55" t="s">
        <v>407</v>
      </c>
      <c r="P55" t="s">
        <v>451</v>
      </c>
      <c r="R55" t="s">
        <v>452</v>
      </c>
      <c r="S55" t="s">
        <v>453</v>
      </c>
      <c r="W55" t="s">
        <v>454</v>
      </c>
    </row>
    <row r="56" spans="1:23" x14ac:dyDescent="0.3">
      <c r="A56" t="s">
        <v>45</v>
      </c>
      <c r="B56" s="1">
        <f>250823000+E56</f>
        <v>250823605</v>
      </c>
      <c r="C56" s="2">
        <v>45892</v>
      </c>
      <c r="D56" t="s">
        <v>382</v>
      </c>
      <c r="E56">
        <v>605</v>
      </c>
      <c r="F56" t="s">
        <v>4</v>
      </c>
      <c r="G56" t="s">
        <v>438</v>
      </c>
      <c r="H56" t="s">
        <v>439</v>
      </c>
      <c r="I56" t="s">
        <v>440</v>
      </c>
      <c r="J56" t="s">
        <v>0</v>
      </c>
      <c r="K56" s="2">
        <v>43451</v>
      </c>
      <c r="L56">
        <v>80</v>
      </c>
      <c r="M56">
        <v>6</v>
      </c>
      <c r="N56">
        <v>6.68</v>
      </c>
      <c r="O56" t="s">
        <v>125</v>
      </c>
      <c r="P56" t="s">
        <v>413</v>
      </c>
      <c r="Q56" t="s">
        <v>6</v>
      </c>
      <c r="W56" t="s">
        <v>441</v>
      </c>
    </row>
    <row r="57" spans="1:23" x14ac:dyDescent="0.3">
      <c r="A57" t="s">
        <v>45</v>
      </c>
      <c r="B57" s="1">
        <f>250830000+E57</f>
        <v>250830204</v>
      </c>
      <c r="C57" s="2">
        <v>45899</v>
      </c>
      <c r="D57" t="s">
        <v>369</v>
      </c>
      <c r="E57">
        <v>204</v>
      </c>
      <c r="F57" t="s">
        <v>4</v>
      </c>
      <c r="G57" t="s">
        <v>442</v>
      </c>
      <c r="H57" t="s">
        <v>443</v>
      </c>
      <c r="I57" t="s">
        <v>444</v>
      </c>
      <c r="J57" t="s">
        <v>3</v>
      </c>
      <c r="K57" s="2">
        <v>43034</v>
      </c>
      <c r="L57">
        <v>94</v>
      </c>
      <c r="M57">
        <v>7</v>
      </c>
      <c r="N57">
        <v>7.84</v>
      </c>
      <c r="O57" t="s">
        <v>125</v>
      </c>
      <c r="P57" t="s">
        <v>413</v>
      </c>
      <c r="Q57" t="s">
        <v>6</v>
      </c>
      <c r="W57" t="s">
        <v>445</v>
      </c>
    </row>
    <row r="58" spans="1:23" x14ac:dyDescent="0.3">
      <c r="A58" t="s">
        <v>45</v>
      </c>
      <c r="B58" s="1">
        <f>250830000+E58</f>
        <v>250830504</v>
      </c>
      <c r="C58" s="2">
        <v>45899</v>
      </c>
      <c r="D58" t="s">
        <v>421</v>
      </c>
      <c r="E58">
        <v>504</v>
      </c>
      <c r="F58" t="s">
        <v>4</v>
      </c>
      <c r="G58" t="s">
        <v>446</v>
      </c>
      <c r="H58" t="s">
        <v>447</v>
      </c>
      <c r="I58" t="s">
        <v>448</v>
      </c>
      <c r="J58" t="s">
        <v>0</v>
      </c>
      <c r="K58" s="2">
        <v>43356</v>
      </c>
      <c r="L58">
        <v>83</v>
      </c>
      <c r="M58">
        <v>6</v>
      </c>
      <c r="N58">
        <v>6.96</v>
      </c>
      <c r="O58" t="s">
        <v>125</v>
      </c>
      <c r="P58" t="s">
        <v>413</v>
      </c>
      <c r="Q58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Jisu_Chung</dc:creator>
  <cp:lastModifiedBy>leelab</cp:lastModifiedBy>
  <dcterms:created xsi:type="dcterms:W3CDTF">2024-05-02T07:22:26Z</dcterms:created>
  <dcterms:modified xsi:type="dcterms:W3CDTF">2026-01-27T13:30:39Z</dcterms:modified>
</cp:coreProperties>
</file>